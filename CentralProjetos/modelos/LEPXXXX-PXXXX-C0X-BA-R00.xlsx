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92.168.0.2\Painéis\Projetos\PROJETO MECÂNICO\SOLID EDGE\LUZVILLE\BLOKSET\CLIENTES\PASTAS PADRÃO\LISTAS BARRAMENTO\"/>
    </mc:Choice>
  </mc:AlternateContent>
  <xr:revisionPtr revIDLastSave="0" documentId="13_ncr:1_{AC3F110F-C0F7-4B34-B903-E1E553B9253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COMPRA BARRAMENTO" sheetId="2" r:id="rId1"/>
    <sheet name="DADOS" sheetId="1" r:id="rId2"/>
  </sheets>
  <definedNames>
    <definedName name="_xlnm._FilterDatabase" localSheetId="1" hidden="1">DADOS!$A$1:$K$85</definedName>
    <definedName name="_xlnm.Print_Area" localSheetId="0">'COMPRA BARRAMENTO'!$B$2:$O$33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2" i="1"/>
  <c r="S17" i="2"/>
  <c r="S16" i="2"/>
  <c r="S15" i="2"/>
  <c r="S14" i="2"/>
  <c r="S13" i="2"/>
  <c r="S12" i="2"/>
  <c r="S11" i="2"/>
  <c r="S10" i="2"/>
  <c r="S9" i="2"/>
  <c r="S8" i="2"/>
  <c r="S7" i="2"/>
  <c r="S6" i="2"/>
  <c r="S35" i="2"/>
  <c r="S34" i="2"/>
  <c r="S33" i="2"/>
  <c r="S32" i="2"/>
  <c r="S31" i="2"/>
  <c r="S30" i="2"/>
  <c r="S29" i="2"/>
  <c r="S28" i="2"/>
  <c r="S27" i="2"/>
  <c r="S26" i="2"/>
  <c r="S25" i="2"/>
  <c r="S24" i="2"/>
  <c r="D10" i="2"/>
  <c r="I10" i="2"/>
  <c r="N10" i="2"/>
  <c r="D11" i="2"/>
  <c r="I11" i="2"/>
  <c r="N11" i="2"/>
  <c r="D12" i="2"/>
  <c r="I12" i="2"/>
  <c r="N12" i="2"/>
  <c r="D13" i="2"/>
  <c r="I13" i="2"/>
  <c r="N13" i="2"/>
  <c r="D14" i="2"/>
  <c r="I14" i="2"/>
  <c r="N14" i="2"/>
  <c r="D15" i="2"/>
  <c r="I15" i="2"/>
  <c r="N15" i="2"/>
  <c r="D16" i="2"/>
  <c r="I16" i="2"/>
  <c r="N16" i="2"/>
  <c r="D17" i="2"/>
  <c r="I17" i="2"/>
  <c r="N17" i="2"/>
  <c r="I28" i="2"/>
  <c r="N28" i="2"/>
  <c r="D29" i="2"/>
  <c r="I29" i="2"/>
  <c r="N29" i="2"/>
  <c r="D30" i="2"/>
  <c r="I30" i="2"/>
  <c r="N30" i="2"/>
  <c r="D31" i="2"/>
  <c r="I31" i="2"/>
  <c r="N31" i="2"/>
  <c r="D32" i="2"/>
  <c r="I32" i="2"/>
  <c r="N32" i="2"/>
  <c r="D33" i="2"/>
  <c r="I33" i="2"/>
  <c r="N33" i="2"/>
  <c r="D34" i="2"/>
  <c r="I34" i="2"/>
  <c r="N34" i="2"/>
  <c r="D35" i="2"/>
  <c r="I35" i="2"/>
  <c r="N35" i="2"/>
  <c r="N26" i="2"/>
  <c r="I26" i="2"/>
  <c r="N25" i="2"/>
  <c r="I25" i="2"/>
  <c r="N24" i="2"/>
  <c r="I24" i="2"/>
  <c r="O94" i="1" l="1"/>
  <c r="P94" i="1" s="1"/>
  <c r="O95" i="1"/>
  <c r="P95" i="1" s="1"/>
  <c r="N8" i="2"/>
  <c r="D8" i="2"/>
  <c r="I8" i="2"/>
  <c r="O86" i="1"/>
  <c r="P86" i="1" s="1"/>
  <c r="O87" i="1"/>
  <c r="P87" i="1" s="1"/>
  <c r="O88" i="1"/>
  <c r="P88" i="1" s="1"/>
  <c r="O89" i="1"/>
  <c r="P89" i="1" s="1"/>
  <c r="O90" i="1"/>
  <c r="P90" i="1" s="1"/>
  <c r="O91" i="1"/>
  <c r="P91" i="1" s="1"/>
  <c r="O92" i="1"/>
  <c r="P92" i="1" s="1"/>
  <c r="O93" i="1"/>
  <c r="P93" i="1" s="1"/>
  <c r="O59" i="1" l="1"/>
  <c r="P59" i="1" s="1"/>
  <c r="O60" i="1"/>
  <c r="P60" i="1" s="1"/>
  <c r="O61" i="1"/>
  <c r="P61" i="1" s="1"/>
  <c r="O62" i="1"/>
  <c r="P62" i="1" s="1"/>
  <c r="O63" i="1"/>
  <c r="P63" i="1" s="1"/>
  <c r="O64" i="1"/>
  <c r="P64" i="1" s="1"/>
  <c r="O65" i="1"/>
  <c r="P65" i="1" s="1"/>
  <c r="O66" i="1"/>
  <c r="P66" i="1" s="1"/>
  <c r="O67" i="1"/>
  <c r="P67" i="1" s="1"/>
  <c r="O68" i="1"/>
  <c r="P68" i="1" s="1"/>
  <c r="O69" i="1"/>
  <c r="P69" i="1" s="1"/>
  <c r="O70" i="1"/>
  <c r="P70" i="1" s="1"/>
  <c r="O71" i="1"/>
  <c r="P71" i="1" s="1"/>
  <c r="O72" i="1"/>
  <c r="P72" i="1" s="1"/>
  <c r="O73" i="1"/>
  <c r="P73" i="1" s="1"/>
  <c r="O74" i="1"/>
  <c r="P74" i="1" s="1"/>
  <c r="O75" i="1"/>
  <c r="P75" i="1" s="1"/>
  <c r="O76" i="1"/>
  <c r="P76" i="1" s="1"/>
  <c r="O77" i="1"/>
  <c r="P77" i="1" s="1"/>
  <c r="O78" i="1"/>
  <c r="P78" i="1" s="1"/>
  <c r="O79" i="1"/>
  <c r="P79" i="1" s="1"/>
  <c r="O80" i="1"/>
  <c r="P80" i="1" s="1"/>
  <c r="O81" i="1"/>
  <c r="P81" i="1" s="1"/>
  <c r="O82" i="1"/>
  <c r="P82" i="1" s="1"/>
  <c r="O83" i="1"/>
  <c r="P83" i="1" s="1"/>
  <c r="O84" i="1"/>
  <c r="P84" i="1" s="1"/>
  <c r="O85" i="1"/>
  <c r="P85" i="1" s="1"/>
  <c r="O3" i="1"/>
  <c r="P3" i="1" s="1"/>
  <c r="O4" i="1"/>
  <c r="P4" i="1" s="1"/>
  <c r="O7" i="1"/>
  <c r="P7" i="1" s="1"/>
  <c r="I27" i="2" s="1"/>
  <c r="O9" i="1"/>
  <c r="P9" i="1" s="1"/>
  <c r="O10" i="1"/>
  <c r="P10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N9" i="2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38" i="1"/>
  <c r="P38" i="1" s="1"/>
  <c r="O39" i="1"/>
  <c r="P39" i="1" s="1"/>
  <c r="O40" i="1"/>
  <c r="P40" i="1" s="1"/>
  <c r="O41" i="1"/>
  <c r="P41" i="1" s="1"/>
  <c r="O42" i="1"/>
  <c r="P42" i="1" s="1"/>
  <c r="O43" i="1"/>
  <c r="P43" i="1" s="1"/>
  <c r="O44" i="1"/>
  <c r="P44" i="1" s="1"/>
  <c r="O45" i="1"/>
  <c r="P45" i="1" s="1"/>
  <c r="O46" i="1"/>
  <c r="P46" i="1" s="1"/>
  <c r="O47" i="1"/>
  <c r="P47" i="1" s="1"/>
  <c r="O48" i="1"/>
  <c r="P48" i="1" s="1"/>
  <c r="O49" i="1"/>
  <c r="P49" i="1" s="1"/>
  <c r="O50" i="1"/>
  <c r="P50" i="1" s="1"/>
  <c r="O51" i="1"/>
  <c r="P51" i="1" s="1"/>
  <c r="O52" i="1"/>
  <c r="P52" i="1" s="1"/>
  <c r="O53" i="1"/>
  <c r="P53" i="1" s="1"/>
  <c r="O54" i="1"/>
  <c r="P54" i="1" s="1"/>
  <c r="O55" i="1"/>
  <c r="P55" i="1" s="1"/>
  <c r="O56" i="1"/>
  <c r="P56" i="1" s="1"/>
  <c r="O57" i="1"/>
  <c r="P57" i="1" s="1"/>
  <c r="O58" i="1"/>
  <c r="P58" i="1" s="1"/>
  <c r="O6" i="1" l="1"/>
  <c r="P6" i="1" s="1"/>
  <c r="O2" i="1"/>
  <c r="P2" i="1" s="1"/>
  <c r="D28" i="2" s="1"/>
  <c r="D26" i="2"/>
  <c r="D24" i="2"/>
  <c r="D25" i="2"/>
  <c r="O11" i="1"/>
  <c r="P11" i="1" s="1"/>
  <c r="O8" i="1"/>
  <c r="P8" i="1" s="1"/>
  <c r="N7" i="2"/>
  <c r="I7" i="2"/>
  <c r="I6" i="2"/>
  <c r="N6" i="2"/>
  <c r="D7" i="2"/>
  <c r="D6" i="2"/>
  <c r="D9" i="2"/>
  <c r="O5" i="1"/>
  <c r="P5" i="1" s="1"/>
  <c r="D27" i="2" l="1"/>
  <c r="N27" i="2"/>
  <c r="I9" i="2"/>
</calcChain>
</file>

<file path=xl/sharedStrings.xml><?xml version="1.0" encoding="utf-8"?>
<sst xmlns="http://schemas.openxmlformats.org/spreadsheetml/2006/main" count="247" uniqueCount="42">
  <si>
    <t>ITEM</t>
  </si>
  <si>
    <t>QTDE.</t>
  </si>
  <si>
    <t>REFERÊNCIA</t>
  </si>
  <si>
    <t>DESCRIÇÃO</t>
  </si>
  <si>
    <t>MATERIAL</t>
  </si>
  <si>
    <t>Larg</t>
  </si>
  <si>
    <t>Comp</t>
  </si>
  <si>
    <t>50,00 mm</t>
  </si>
  <si>
    <t>25,00 mm</t>
  </si>
  <si>
    <t>100,00 mm</t>
  </si>
  <si>
    <t>Mais 15 corte</t>
  </si>
  <si>
    <t>TOTAL</t>
  </si>
  <si>
    <t>BARRA</t>
  </si>
  <si>
    <t>QNTD(Metros)</t>
  </si>
  <si>
    <t>125,00 mm</t>
  </si>
  <si>
    <t>Espessura</t>
  </si>
  <si>
    <t>Observação</t>
  </si>
  <si>
    <t>8,00 mm</t>
  </si>
  <si>
    <t>6,00 mm</t>
  </si>
  <si>
    <t>REV.</t>
  </si>
  <si>
    <t>DATA REV.</t>
  </si>
  <si>
    <t>OBS.</t>
  </si>
  <si>
    <t>Alumínio IS 5082 - 63401-W</t>
  </si>
  <si>
    <t>200,00 mm</t>
  </si>
  <si>
    <t>150,00 mm</t>
  </si>
  <si>
    <t>75,00 mm</t>
  </si>
  <si>
    <t>ESPESSURA 6MM Al</t>
  </si>
  <si>
    <t>ESPESSURA 8MM Al</t>
  </si>
  <si>
    <t>20,00 mm</t>
  </si>
  <si>
    <t>5,00 mm</t>
  </si>
  <si>
    <t>ESPESSURA 5MM Al</t>
  </si>
  <si>
    <t>ESPESSURA 5MM Cu</t>
  </si>
  <si>
    <t>ESPESSURA 6MM Cu</t>
  </si>
  <si>
    <t>ESPESSURA 8MM Cu</t>
  </si>
  <si>
    <t>Cobre ETP R250</t>
  </si>
  <si>
    <t>30,00 mm</t>
  </si>
  <si>
    <t>80,00 mm</t>
  </si>
  <si>
    <t>60,00 mm</t>
  </si>
  <si>
    <t>40,00 mm</t>
  </si>
  <si>
    <t>10,00 mm</t>
  </si>
  <si>
    <t>ESPESSURA 10MM Al</t>
  </si>
  <si>
    <t>ESPESSURA 10MM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</si>
</sst>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u/>
      <sz val="11"/>
      <color theme="1" tint="4.9989318521683403E-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/>
    <xf numFmtId="0" fontId="6" fillId="0" borderId="0"/>
  </cellStyleXfs>
  <cellXfs count="44">
    <xf numFmtId="0" fontId="0" fillId="0" borderId="0" xfId="0"/>
    <xf numFmtId="0" fontId="0" fillId="3" borderId="0" xfId="0" applyFill="1" applyAlignment="1" applyProtection="1">
      <alignment horizontal="center" vertical="center"/>
      <protection locked="0"/>
    </xf>
    <xf numFmtId="0" fontId="0" fillId="3" borderId="0" xfId="0" applyFill="1" applyAlignment="1">
      <alignment horizontal="center" vertical="center"/>
    </xf>
    <xf numFmtId="0" fontId="4" fillId="2" borderId="3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9" xfId="0" applyFont="1" applyFill="1" applyBorder="1"/>
    <xf numFmtId="0" fontId="0" fillId="0" borderId="1" xfId="0" applyBorder="1" applyProtection="1">
      <protection locked="0"/>
    </xf>
    <xf numFmtId="0" fontId="1" fillId="2" borderId="19" xfId="0" applyFont="1" applyFill="1" applyBorder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14" fontId="1" fillId="2" borderId="19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 applyProtection="1">
      <alignment horizontal="center"/>
      <protection locked="0"/>
    </xf>
    <xf numFmtId="0" fontId="1" fillId="2" borderId="2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4" borderId="8" xfId="0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4" borderId="11" xfId="0" applyFill="1" applyBorder="1" applyAlignment="1" applyProtection="1">
      <alignment horizontal="center" vertical="center"/>
      <protection locked="0"/>
    </xf>
    <xf numFmtId="2" fontId="3" fillId="0" borderId="10" xfId="0" applyNumberFormat="1" applyFont="1" applyBorder="1" applyAlignment="1">
      <alignment horizontal="center" vertic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8" fillId="0" borderId="0" xfId="0" applyFont="1"/>
    <xf numFmtId="0" fontId="9" fillId="4" borderId="2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10" fillId="0" borderId="0" xfId="0" applyFont="1"/>
    <xf numFmtId="0" fontId="8" fillId="0" borderId="0" xfId="0" applyFont="1" applyProtection="1">
      <protection locked="0"/>
    </xf>
    <xf numFmtId="2" fontId="3" fillId="0" borderId="21" xfId="0" applyNumberFormat="1" applyFont="1" applyBorder="1" applyAlignment="1" applyProtection="1">
      <alignment horizontal="center" vertical="center"/>
      <protection locked="0"/>
    </xf>
    <xf numFmtId="0" fontId="5" fillId="4" borderId="12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5E323450-C702-4CCE-BD13-A61D745FB7F1}"/>
    <cellStyle name="Normal 2 2" xfId="2" xr:uid="{93F306E3-DD52-4C4C-B973-47BC37B97639}"/>
  </cellStyles>
  <dxfs count="1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D4D2-02DD-4A6F-B01C-1D43E28350CD}">
  <dimension ref="B1:AN371"/>
  <sheetViews>
    <sheetView showGridLines="0" zoomScale="85" zoomScaleNormal="85" workbookViewId="0">
      <selection activeCell="A13" sqref="A13"/>
    </sheetView>
  </sheetViews>
  <sheetFormatPr defaultRowHeight="15" x14ac:dyDescent="0.25"/>
  <cols>
    <col min="1" max="1" width="2.85546875" style="2" customWidth="1"/>
    <col min="2" max="2" width="17.140625" style="2" bestFit="1" customWidth="1"/>
    <col min="3" max="3" width="15.85546875" style="2" bestFit="1" customWidth="1"/>
    <col min="4" max="4" width="22.5703125" style="2" bestFit="1" customWidth="1"/>
    <col min="5" max="5" width="18.42578125" style="1" bestFit="1" customWidth="1"/>
    <col min="6" max="6" width="1.7109375" style="1" customWidth="1"/>
    <col min="7" max="7" width="17.140625" style="1" bestFit="1" customWidth="1"/>
    <col min="8" max="8" width="15.85546875" style="1" bestFit="1" customWidth="1"/>
    <col min="9" max="9" width="22.5703125" style="1" bestFit="1" customWidth="1"/>
    <col min="10" max="10" width="18.42578125" style="1" bestFit="1" customWidth="1"/>
    <col min="11" max="11" width="1.7109375" style="1" customWidth="1"/>
    <col min="12" max="12" width="17.140625" style="1" bestFit="1" customWidth="1"/>
    <col min="13" max="13" width="15.85546875" style="1" bestFit="1" customWidth="1"/>
    <col min="14" max="14" width="22.5703125" style="1" bestFit="1" customWidth="1"/>
    <col min="15" max="15" width="18.42578125" style="1" bestFit="1" customWidth="1"/>
    <col min="16" max="16" width="1.7109375" style="1" customWidth="1"/>
    <col min="17" max="17" width="17.140625" style="1" bestFit="1" customWidth="1"/>
    <col min="18" max="18" width="15.85546875" style="1" bestFit="1" customWidth="1"/>
    <col min="19" max="19" width="22.5703125" style="1" bestFit="1" customWidth="1"/>
    <col min="20" max="20" width="18.42578125" style="1" bestFit="1" customWidth="1"/>
    <col min="21" max="23" width="9.140625" style="1"/>
    <col min="24" max="24" width="26" style="1" hidden="1" customWidth="1"/>
    <col min="25" max="40" width="9.140625" style="1"/>
    <col min="41" max="16384" width="9.140625" style="2"/>
  </cols>
  <sheetData>
    <row r="1" spans="2:40" ht="15.75" thickBot="1" x14ac:dyDescent="0.3"/>
    <row r="2" spans="2:40" x14ac:dyDescent="0.25">
      <c r="B2" s="38" t="s">
        <v>30</v>
      </c>
      <c r="C2" s="39"/>
      <c r="D2" s="39"/>
      <c r="E2" s="40"/>
      <c r="G2" s="38" t="s">
        <v>26</v>
      </c>
      <c r="H2" s="39"/>
      <c r="I2" s="39"/>
      <c r="J2" s="40"/>
      <c r="K2" s="2"/>
      <c r="L2" s="38" t="s">
        <v>27</v>
      </c>
      <c r="M2" s="39"/>
      <c r="N2" s="39"/>
      <c r="O2" s="40"/>
      <c r="Q2" s="38" t="s">
        <v>40</v>
      </c>
      <c r="R2" s="39"/>
      <c r="S2" s="39"/>
      <c r="T2" s="40"/>
      <c r="AK2" s="2"/>
      <c r="AL2" s="2"/>
      <c r="AM2" s="2"/>
      <c r="AN2" s="2"/>
    </row>
    <row r="3" spans="2:40" ht="15.75" thickBot="1" x14ac:dyDescent="0.3">
      <c r="B3" s="41"/>
      <c r="C3" s="42"/>
      <c r="D3" s="42"/>
      <c r="E3" s="43"/>
      <c r="G3" s="41"/>
      <c r="H3" s="42"/>
      <c r="I3" s="42"/>
      <c r="J3" s="43"/>
      <c r="K3" s="2"/>
      <c r="L3" s="41"/>
      <c r="M3" s="42"/>
      <c r="N3" s="42"/>
      <c r="O3" s="43"/>
      <c r="Q3" s="41"/>
      <c r="R3" s="42"/>
      <c r="S3" s="42"/>
      <c r="T3" s="43"/>
      <c r="AK3" s="2"/>
      <c r="AL3" s="2"/>
      <c r="AM3" s="2"/>
      <c r="AN3" s="2"/>
    </row>
    <row r="4" spans="2:40" ht="15.75" thickBot="1" x14ac:dyDescent="0.3">
      <c r="G4" s="2"/>
      <c r="H4" s="2"/>
      <c r="I4" s="2"/>
      <c r="K4" s="2"/>
      <c r="L4" s="2"/>
      <c r="M4" s="2"/>
      <c r="N4" s="2"/>
      <c r="Q4" s="2"/>
      <c r="R4" s="2"/>
      <c r="S4" s="2"/>
      <c r="AK4" s="2"/>
      <c r="AL4" s="2"/>
      <c r="AM4" s="2"/>
      <c r="AN4" s="2"/>
    </row>
    <row r="5" spans="2:40" ht="23.25" x14ac:dyDescent="0.25">
      <c r="B5" s="21" t="s">
        <v>12</v>
      </c>
      <c r="C5" s="22" t="s">
        <v>15</v>
      </c>
      <c r="D5" s="22" t="s">
        <v>13</v>
      </c>
      <c r="E5" s="23" t="s">
        <v>16</v>
      </c>
      <c r="G5" s="21" t="s">
        <v>12</v>
      </c>
      <c r="H5" s="22" t="s">
        <v>15</v>
      </c>
      <c r="I5" s="22" t="s">
        <v>13</v>
      </c>
      <c r="J5" s="23" t="s">
        <v>16</v>
      </c>
      <c r="K5" s="2"/>
      <c r="L5" s="21" t="s">
        <v>12</v>
      </c>
      <c r="M5" s="22" t="s">
        <v>15</v>
      </c>
      <c r="N5" s="22" t="s">
        <v>13</v>
      </c>
      <c r="O5" s="23" t="s">
        <v>16</v>
      </c>
      <c r="Q5" s="21" t="s">
        <v>12</v>
      </c>
      <c r="R5" s="22" t="s">
        <v>15</v>
      </c>
      <c r="S5" s="22" t="s">
        <v>13</v>
      </c>
      <c r="T5" s="23" t="s">
        <v>16</v>
      </c>
      <c r="X5" s="17" t="s">
        <v>22</v>
      </c>
      <c r="AK5" s="2"/>
      <c r="AL5" s="2"/>
      <c r="AM5" s="2"/>
      <c r="AN5" s="2"/>
    </row>
    <row r="6" spans="2:40" ht="23.25" x14ac:dyDescent="0.25">
      <c r="B6" s="24" t="s">
        <v>28</v>
      </c>
      <c r="C6" s="19" t="s">
        <v>29</v>
      </c>
      <c r="D6" s="20">
        <f>SUMIFS(DADOS!P:P,DADOS!I:I,'COMPRA BARRAMENTO'!B6,DADOS!K:K,'COMPRA BARRAMENTO'!C6,DADOS!H:H,'COMPRA BARRAMENTO'!$X$5)/1000</f>
        <v>0</v>
      </c>
      <c r="E6" s="30"/>
      <c r="G6" s="24" t="s">
        <v>28</v>
      </c>
      <c r="H6" s="19" t="s">
        <v>18</v>
      </c>
      <c r="I6" s="20">
        <f>SUMIFS(DADOS!P:P,DADOS!I:I,'COMPRA BARRAMENTO'!G6,DADOS!K:K,'COMPRA BARRAMENTO'!H6,DADOS!H:H,'COMPRA BARRAMENTO'!$X$5)/1000</f>
        <v>0</v>
      </c>
      <c r="J6" s="30"/>
      <c r="K6" s="2"/>
      <c r="L6" s="24" t="s">
        <v>28</v>
      </c>
      <c r="M6" s="19" t="s">
        <v>17</v>
      </c>
      <c r="N6" s="20">
        <f>SUMIFS(DADOS!P:P,DADOS!I:I,'COMPRA BARRAMENTO'!L6,DADOS!K:K,'COMPRA BARRAMENTO'!M6,DADOS!H:H,'COMPRA BARRAMENTO'!$X$5)/1000</f>
        <v>0</v>
      </c>
      <c r="O6" s="30"/>
      <c r="Q6" s="24" t="s">
        <v>28</v>
      </c>
      <c r="R6" s="19" t="s">
        <v>39</v>
      </c>
      <c r="S6" s="20">
        <f>SUMIFS(DADOS!P:P,DADOS!I:I,'COMPRA BARRAMENTO'!Q6,DADOS!K:K,'COMPRA BARRAMENTO'!R6,DADOS!H:H,'COMPRA BARRAMENTO'!$X$5)/1000</f>
        <v>0</v>
      </c>
      <c r="T6" s="30"/>
      <c r="X6" s="18" t="s">
        <v>34</v>
      </c>
      <c r="AK6" s="2"/>
      <c r="AL6" s="2"/>
      <c r="AM6" s="2"/>
      <c r="AN6" s="2"/>
    </row>
    <row r="7" spans="2:40" ht="23.25" x14ac:dyDescent="0.25">
      <c r="B7" s="24" t="s">
        <v>8</v>
      </c>
      <c r="C7" s="19" t="s">
        <v>29</v>
      </c>
      <c r="D7" s="20">
        <f>SUMIFS(DADOS!P:P,DADOS!I:I,'COMPRA BARRAMENTO'!B7,DADOS!K:K,'COMPRA BARRAMENTO'!C7,DADOS!H:H,'COMPRA BARRAMENTO'!$X$5)/1000</f>
        <v>0</v>
      </c>
      <c r="E7" s="30"/>
      <c r="G7" s="24" t="s">
        <v>8</v>
      </c>
      <c r="H7" s="19" t="s">
        <v>18</v>
      </c>
      <c r="I7" s="20">
        <f>SUMIFS(DADOS!P:P,DADOS!I:I,'COMPRA BARRAMENTO'!G7,DADOS!K:K,'COMPRA BARRAMENTO'!H7,DADOS!H:H,'COMPRA BARRAMENTO'!$X$5)/1000</f>
        <v>0</v>
      </c>
      <c r="J7" s="30"/>
      <c r="K7" s="2"/>
      <c r="L7" s="24" t="s">
        <v>8</v>
      </c>
      <c r="M7" s="19" t="s">
        <v>17</v>
      </c>
      <c r="N7" s="20">
        <f>SUMIFS(DADOS!P:P,DADOS!I:I,'COMPRA BARRAMENTO'!L7,DADOS!K:K,'COMPRA BARRAMENTO'!M7,DADOS!H:H,'COMPRA BARRAMENTO'!$X$5)/1000</f>
        <v>0</v>
      </c>
      <c r="O7" s="30"/>
      <c r="Q7" s="24" t="s">
        <v>8</v>
      </c>
      <c r="R7" s="19" t="s">
        <v>39</v>
      </c>
      <c r="S7" s="20">
        <f>SUMIFS(DADOS!P:P,DADOS!I:I,'COMPRA BARRAMENTO'!Q7,DADOS!K:K,'COMPRA BARRAMENTO'!R7,DADOS!H:H,'COMPRA BARRAMENTO'!$X$5)/1000</f>
        <v>0</v>
      </c>
      <c r="T7" s="30"/>
      <c r="AK7" s="2"/>
      <c r="AL7" s="2"/>
      <c r="AM7" s="2"/>
      <c r="AN7" s="2"/>
    </row>
    <row r="8" spans="2:40" ht="23.25" x14ac:dyDescent="0.25">
      <c r="B8" s="24" t="s">
        <v>35</v>
      </c>
      <c r="C8" s="19" t="s">
        <v>29</v>
      </c>
      <c r="D8" s="20">
        <f>SUMIFS(DADOS!P:P,DADOS!I:I,'COMPRA BARRAMENTO'!B8,DADOS!K:K,'COMPRA BARRAMENTO'!C8,DADOS!H:H,'COMPRA BARRAMENTO'!$X$5)/1000</f>
        <v>0</v>
      </c>
      <c r="E8" s="30"/>
      <c r="G8" s="24" t="s">
        <v>35</v>
      </c>
      <c r="H8" s="19" t="s">
        <v>18</v>
      </c>
      <c r="I8" s="20">
        <f>SUMIFS(DADOS!P:P,DADOS!I:I,'COMPRA BARRAMENTO'!G8,DADOS!K:K,'COMPRA BARRAMENTO'!H8,DADOS!H:H,'COMPRA BARRAMENTO'!$X$5)/1000</f>
        <v>0</v>
      </c>
      <c r="J8" s="30"/>
      <c r="K8" s="2"/>
      <c r="L8" s="24" t="s">
        <v>35</v>
      </c>
      <c r="M8" s="19" t="s">
        <v>17</v>
      </c>
      <c r="N8" s="20">
        <f>SUMIFS(DADOS!K:K,DADOS!I:I,'COMPRA BARRAMENTO'!L8,DADOS!K:K,'COMPRA BARRAMENTO'!M8,DADOS!H:H,'COMPRA BARRAMENTO'!$X$5)/1000</f>
        <v>0</v>
      </c>
      <c r="O8" s="30"/>
      <c r="Q8" s="24" t="s">
        <v>35</v>
      </c>
      <c r="R8" s="19" t="s">
        <v>39</v>
      </c>
      <c r="S8" s="20">
        <f>SUMIFS(DADOS!P:P,DADOS!I:I,'COMPRA BARRAMENTO'!Q8,DADOS!K:K,'COMPRA BARRAMENTO'!R8,DADOS!H:H,'COMPRA BARRAMENTO'!$X$5)/1000</f>
        <v>0</v>
      </c>
      <c r="T8" s="30"/>
      <c r="AK8" s="2"/>
      <c r="AL8" s="2"/>
      <c r="AM8" s="2"/>
      <c r="AN8" s="2"/>
    </row>
    <row r="9" spans="2:40" ht="23.25" x14ac:dyDescent="0.25">
      <c r="B9" s="24" t="s">
        <v>38</v>
      </c>
      <c r="C9" s="19" t="s">
        <v>29</v>
      </c>
      <c r="D9" s="20">
        <f>SUMIFS(DADOS!P:P,DADOS!I:I,'COMPRA BARRAMENTO'!B9,DADOS!K:K,'COMPRA BARRAMENTO'!C9,DADOS!H:H,'COMPRA BARRAMENTO'!$X$5)/1000</f>
        <v>0</v>
      </c>
      <c r="E9" s="30"/>
      <c r="G9" s="24" t="s">
        <v>38</v>
      </c>
      <c r="H9" s="19" t="s">
        <v>18</v>
      </c>
      <c r="I9" s="20">
        <f>SUMIFS(DADOS!P:P,DADOS!I:I,'COMPRA BARRAMENTO'!G9,DADOS!K:K,'COMPRA BARRAMENTO'!H9,DADOS!H:H,'COMPRA BARRAMENTO'!$X$5)/1000</f>
        <v>0</v>
      </c>
      <c r="J9" s="30"/>
      <c r="K9" s="2"/>
      <c r="L9" s="24" t="s">
        <v>38</v>
      </c>
      <c r="M9" s="19" t="s">
        <v>17</v>
      </c>
      <c r="N9" s="20">
        <f>SUMIFS(DADOS!P:P,DADOS!I:I,'COMPRA BARRAMENTO'!L9,DADOS!K:K,'COMPRA BARRAMENTO'!M9,DADOS!H:H,'COMPRA BARRAMENTO'!$X$5)/1000</f>
        <v>0</v>
      </c>
      <c r="O9" s="30"/>
      <c r="Q9" s="24" t="s">
        <v>38</v>
      </c>
      <c r="R9" s="19" t="s">
        <v>39</v>
      </c>
      <c r="S9" s="20">
        <f>SUMIFS(DADOS!P:P,DADOS!I:I,'COMPRA BARRAMENTO'!Q9,DADOS!K:K,'COMPRA BARRAMENTO'!R9,DADOS!H:H,'COMPRA BARRAMENTO'!$X$5)/1000</f>
        <v>0</v>
      </c>
      <c r="T9" s="30"/>
      <c r="AK9" s="2"/>
      <c r="AL9" s="2"/>
      <c r="AM9" s="2"/>
      <c r="AN9" s="2"/>
    </row>
    <row r="10" spans="2:40" ht="23.25" x14ac:dyDescent="0.25">
      <c r="B10" s="24" t="s">
        <v>7</v>
      </c>
      <c r="C10" s="19" t="s">
        <v>29</v>
      </c>
      <c r="D10" s="20">
        <f>SUMIFS(DADOS!P:P,DADOS!I:I,'COMPRA BARRAMENTO'!B10,DADOS!K:K,'COMPRA BARRAMENTO'!C10,DADOS!H:H,'COMPRA BARRAMENTO'!$X$5)/1000</f>
        <v>0</v>
      </c>
      <c r="E10" s="30"/>
      <c r="G10" s="24" t="s">
        <v>7</v>
      </c>
      <c r="H10" s="19" t="s">
        <v>18</v>
      </c>
      <c r="I10" s="20">
        <f>SUMIFS(DADOS!P:P,DADOS!I:I,'COMPRA BARRAMENTO'!G10,DADOS!K:K,'COMPRA BARRAMENTO'!H10,DADOS!H:H,'COMPRA BARRAMENTO'!$X$5)/1000</f>
        <v>0</v>
      </c>
      <c r="J10" s="30"/>
      <c r="K10" s="2"/>
      <c r="L10" s="24" t="s">
        <v>7</v>
      </c>
      <c r="M10" s="19" t="s">
        <v>17</v>
      </c>
      <c r="N10" s="20">
        <f>SUMIFS(DADOS!P:P,DADOS!I:I,'COMPRA BARRAMENTO'!L10,DADOS!K:K,'COMPRA BARRAMENTO'!M10,DADOS!H:H,'COMPRA BARRAMENTO'!$X$5)/1000</f>
        <v>0</v>
      </c>
      <c r="O10" s="30"/>
      <c r="Q10" s="24" t="s">
        <v>7</v>
      </c>
      <c r="R10" s="19" t="s">
        <v>39</v>
      </c>
      <c r="S10" s="20">
        <f>SUMIFS(DADOS!P:P,DADOS!I:I,'COMPRA BARRAMENTO'!Q10,DADOS!K:K,'COMPRA BARRAMENTO'!R10,DADOS!H:H,'COMPRA BARRAMENTO'!$X$5)/1000</f>
        <v>0</v>
      </c>
      <c r="T10" s="30"/>
      <c r="AK10" s="2"/>
      <c r="AL10" s="2"/>
      <c r="AM10" s="2"/>
      <c r="AN10" s="2"/>
    </row>
    <row r="11" spans="2:40" ht="23.25" x14ac:dyDescent="0.25">
      <c r="B11" s="24" t="s">
        <v>37</v>
      </c>
      <c r="C11" s="19" t="s">
        <v>29</v>
      </c>
      <c r="D11" s="20">
        <f>SUMIFS(DADOS!P:P,DADOS!I:I,'COMPRA BARRAMENTO'!B11,DADOS!K:K,'COMPRA BARRAMENTO'!C11,DADOS!H:H,'COMPRA BARRAMENTO'!$X$5)/1000</f>
        <v>0</v>
      </c>
      <c r="E11" s="30"/>
      <c r="G11" s="24" t="s">
        <v>37</v>
      </c>
      <c r="H11" s="19" t="s">
        <v>18</v>
      </c>
      <c r="I11" s="20">
        <f>SUMIFS(DADOS!P:P,DADOS!I:I,'COMPRA BARRAMENTO'!G11,DADOS!K:K,'COMPRA BARRAMENTO'!H11,DADOS!H:H,'COMPRA BARRAMENTO'!$X$5)/1000</f>
        <v>0</v>
      </c>
      <c r="J11" s="30"/>
      <c r="K11" s="2"/>
      <c r="L11" s="24" t="s">
        <v>37</v>
      </c>
      <c r="M11" s="19" t="s">
        <v>17</v>
      </c>
      <c r="N11" s="20">
        <f>SUMIFS(DADOS!P:P,DADOS!I:I,'COMPRA BARRAMENTO'!L11,DADOS!K:K,'COMPRA BARRAMENTO'!M11,DADOS!H:H,'COMPRA BARRAMENTO'!$X$5)/1000</f>
        <v>0</v>
      </c>
      <c r="O11" s="30"/>
      <c r="Q11" s="24" t="s">
        <v>37</v>
      </c>
      <c r="R11" s="19" t="s">
        <v>39</v>
      </c>
      <c r="S11" s="20">
        <f>SUMIFS(DADOS!P:P,DADOS!I:I,'COMPRA BARRAMENTO'!Q11,DADOS!K:K,'COMPRA BARRAMENTO'!R11,DADOS!H:H,'COMPRA BARRAMENTO'!$X$5)/1000</f>
        <v>0</v>
      </c>
      <c r="T11" s="30"/>
      <c r="AK11" s="2"/>
      <c r="AL11" s="2"/>
      <c r="AM11" s="2"/>
      <c r="AN11" s="2"/>
    </row>
    <row r="12" spans="2:40" ht="23.25" x14ac:dyDescent="0.25">
      <c r="B12" s="24" t="s">
        <v>25</v>
      </c>
      <c r="C12" s="19" t="s">
        <v>29</v>
      </c>
      <c r="D12" s="20">
        <f>SUMIFS(DADOS!P:P,DADOS!I:I,'COMPRA BARRAMENTO'!B12,DADOS!K:K,'COMPRA BARRAMENTO'!C12,DADOS!H:H,'COMPRA BARRAMENTO'!$X$5)/1000</f>
        <v>0</v>
      </c>
      <c r="E12" s="30"/>
      <c r="G12" s="24" t="s">
        <v>25</v>
      </c>
      <c r="H12" s="19" t="s">
        <v>18</v>
      </c>
      <c r="I12" s="20">
        <f>SUMIFS(DADOS!P:P,DADOS!I:I,'COMPRA BARRAMENTO'!G12,DADOS!K:K,'COMPRA BARRAMENTO'!H12,DADOS!H:H,'COMPRA BARRAMENTO'!$X$5)/1000</f>
        <v>0</v>
      </c>
      <c r="J12" s="30"/>
      <c r="K12" s="2"/>
      <c r="L12" s="24" t="s">
        <v>25</v>
      </c>
      <c r="M12" s="19" t="s">
        <v>17</v>
      </c>
      <c r="N12" s="20">
        <f>SUMIFS(DADOS!P:P,DADOS!I:I,'COMPRA BARRAMENTO'!L12,DADOS!K:K,'COMPRA BARRAMENTO'!M12,DADOS!H:H,'COMPRA BARRAMENTO'!$X$5)/1000</f>
        <v>0</v>
      </c>
      <c r="O12" s="30"/>
      <c r="Q12" s="24" t="s">
        <v>25</v>
      </c>
      <c r="R12" s="19" t="s">
        <v>39</v>
      </c>
      <c r="S12" s="20">
        <f>SUMIFS(DADOS!P:P,DADOS!I:I,'COMPRA BARRAMENTO'!Q12,DADOS!K:K,'COMPRA BARRAMENTO'!R12,DADOS!H:H,'COMPRA BARRAMENTO'!$X$5)/1000</f>
        <v>0</v>
      </c>
      <c r="T12" s="30"/>
      <c r="AK12" s="2"/>
      <c r="AL12" s="2"/>
      <c r="AM12" s="2"/>
      <c r="AN12" s="2"/>
    </row>
    <row r="13" spans="2:40" ht="23.25" x14ac:dyDescent="0.25">
      <c r="B13" s="24" t="s">
        <v>36</v>
      </c>
      <c r="C13" s="19" t="s">
        <v>29</v>
      </c>
      <c r="D13" s="20">
        <f>SUMIFS(DADOS!P:P,DADOS!I:I,'COMPRA BARRAMENTO'!B13,DADOS!K:K,'COMPRA BARRAMENTO'!C13,DADOS!H:H,'COMPRA BARRAMENTO'!$X$5)/1000</f>
        <v>0</v>
      </c>
      <c r="E13" s="30"/>
      <c r="G13" s="24" t="s">
        <v>36</v>
      </c>
      <c r="H13" s="19" t="s">
        <v>18</v>
      </c>
      <c r="I13" s="20">
        <f>SUMIFS(DADOS!P:P,DADOS!I:I,'COMPRA BARRAMENTO'!G13,DADOS!K:K,'COMPRA BARRAMENTO'!H13,DADOS!H:H,'COMPRA BARRAMENTO'!$X$5)/1000</f>
        <v>0</v>
      </c>
      <c r="J13" s="30"/>
      <c r="K13" s="2"/>
      <c r="L13" s="24" t="s">
        <v>36</v>
      </c>
      <c r="M13" s="19" t="s">
        <v>17</v>
      </c>
      <c r="N13" s="20">
        <f>SUMIFS(DADOS!P:P,DADOS!I:I,'COMPRA BARRAMENTO'!L13,DADOS!K:K,'COMPRA BARRAMENTO'!M13,DADOS!H:H,'COMPRA BARRAMENTO'!$X$5)/1000</f>
        <v>0</v>
      </c>
      <c r="O13" s="30"/>
      <c r="Q13" s="24" t="s">
        <v>36</v>
      </c>
      <c r="R13" s="19" t="s">
        <v>39</v>
      </c>
      <c r="S13" s="20">
        <f>SUMIFS(DADOS!P:P,DADOS!I:I,'COMPRA BARRAMENTO'!Q13,DADOS!K:K,'COMPRA BARRAMENTO'!R13,DADOS!H:H,'COMPRA BARRAMENTO'!$X$5)/1000</f>
        <v>0</v>
      </c>
      <c r="T13" s="30"/>
      <c r="AK13" s="2"/>
      <c r="AL13" s="2"/>
      <c r="AM13" s="2"/>
      <c r="AN13" s="2"/>
    </row>
    <row r="14" spans="2:40" ht="23.25" x14ac:dyDescent="0.25">
      <c r="B14" s="24" t="s">
        <v>9</v>
      </c>
      <c r="C14" s="19" t="s">
        <v>29</v>
      </c>
      <c r="D14" s="20">
        <f>SUMIFS(DADOS!P:P,DADOS!I:I,'COMPRA BARRAMENTO'!B14,DADOS!K:K,'COMPRA BARRAMENTO'!C14,DADOS!H:H,'COMPRA BARRAMENTO'!$X$5)/1000</f>
        <v>0</v>
      </c>
      <c r="E14" s="30"/>
      <c r="G14" s="24" t="s">
        <v>9</v>
      </c>
      <c r="H14" s="19" t="s">
        <v>18</v>
      </c>
      <c r="I14" s="20">
        <f>SUMIFS(DADOS!P:P,DADOS!I:I,'COMPRA BARRAMENTO'!G14,DADOS!K:K,'COMPRA BARRAMENTO'!H14,DADOS!H:H,'COMPRA BARRAMENTO'!$X$5)/1000</f>
        <v>0</v>
      </c>
      <c r="J14" s="30"/>
      <c r="K14" s="2"/>
      <c r="L14" s="24" t="s">
        <v>9</v>
      </c>
      <c r="M14" s="19" t="s">
        <v>17</v>
      </c>
      <c r="N14" s="20">
        <f>SUMIFS(DADOS!P:P,DADOS!I:I,'COMPRA BARRAMENTO'!L14,DADOS!K:K,'COMPRA BARRAMENTO'!M14,DADOS!H:H,'COMPRA BARRAMENTO'!$X$5)/1000</f>
        <v>0</v>
      </c>
      <c r="O14" s="30"/>
      <c r="Q14" s="24" t="s">
        <v>9</v>
      </c>
      <c r="R14" s="19" t="s">
        <v>39</v>
      </c>
      <c r="S14" s="20">
        <f>SUMIFS(DADOS!P:P,DADOS!I:I,'COMPRA BARRAMENTO'!Q14,DADOS!K:K,'COMPRA BARRAMENTO'!R14,DADOS!H:H,'COMPRA BARRAMENTO'!$X$5)/1000</f>
        <v>0</v>
      </c>
      <c r="T14" s="30"/>
      <c r="AK14" s="2"/>
      <c r="AL14" s="2"/>
      <c r="AM14" s="2"/>
      <c r="AN14" s="2"/>
    </row>
    <row r="15" spans="2:40" ht="23.25" x14ac:dyDescent="0.25">
      <c r="B15" s="24" t="s">
        <v>14</v>
      </c>
      <c r="C15" s="19" t="s">
        <v>29</v>
      </c>
      <c r="D15" s="20">
        <f>SUMIFS(DADOS!P:P,DADOS!I:I,'COMPRA BARRAMENTO'!B15,DADOS!K:K,'COMPRA BARRAMENTO'!C15,DADOS!H:H,'COMPRA BARRAMENTO'!$X$5)/1000</f>
        <v>0</v>
      </c>
      <c r="E15" s="30"/>
      <c r="G15" s="24" t="s">
        <v>14</v>
      </c>
      <c r="H15" s="19" t="s">
        <v>18</v>
      </c>
      <c r="I15" s="20">
        <f>SUMIFS(DADOS!P:P,DADOS!I:I,'COMPRA BARRAMENTO'!G15,DADOS!K:K,'COMPRA BARRAMENTO'!H15,DADOS!H:H,'COMPRA BARRAMENTO'!$X$5)/1000</f>
        <v>0</v>
      </c>
      <c r="J15" s="30"/>
      <c r="K15" s="2"/>
      <c r="L15" s="24" t="s">
        <v>14</v>
      </c>
      <c r="M15" s="19" t="s">
        <v>17</v>
      </c>
      <c r="N15" s="20">
        <f>SUMIFS(DADOS!P:P,DADOS!I:I,'COMPRA BARRAMENTO'!L15,DADOS!K:K,'COMPRA BARRAMENTO'!M15,DADOS!H:H,'COMPRA BARRAMENTO'!$X$5)/1000</f>
        <v>0</v>
      </c>
      <c r="O15" s="30"/>
      <c r="Q15" s="24" t="s">
        <v>14</v>
      </c>
      <c r="R15" s="19" t="s">
        <v>39</v>
      </c>
      <c r="S15" s="20">
        <f>SUMIFS(DADOS!P:P,DADOS!I:I,'COMPRA BARRAMENTO'!Q15,DADOS!K:K,'COMPRA BARRAMENTO'!R15,DADOS!H:H,'COMPRA BARRAMENTO'!$X$5)/1000</f>
        <v>0</v>
      </c>
      <c r="T15" s="30"/>
      <c r="AK15" s="2"/>
      <c r="AL15" s="2"/>
      <c r="AM15" s="2"/>
      <c r="AN15" s="2"/>
    </row>
    <row r="16" spans="2:40" ht="23.25" x14ac:dyDescent="0.25">
      <c r="B16" s="24" t="s">
        <v>24</v>
      </c>
      <c r="C16" s="19" t="s">
        <v>29</v>
      </c>
      <c r="D16" s="20">
        <f>SUMIFS(DADOS!P:P,DADOS!I:I,'COMPRA BARRAMENTO'!B16,DADOS!K:K,'COMPRA BARRAMENTO'!C16,DADOS!H:H,'COMPRA BARRAMENTO'!$X$5)/1000</f>
        <v>0</v>
      </c>
      <c r="E16" s="30"/>
      <c r="G16" s="24" t="s">
        <v>24</v>
      </c>
      <c r="H16" s="19" t="s">
        <v>18</v>
      </c>
      <c r="I16" s="20">
        <f>SUMIFS(DADOS!P:P,DADOS!I:I,'COMPRA BARRAMENTO'!G16,DADOS!K:K,'COMPRA BARRAMENTO'!H16,DADOS!H:H,'COMPRA BARRAMENTO'!$X$5)/1000</f>
        <v>0</v>
      </c>
      <c r="J16" s="30"/>
      <c r="K16" s="2"/>
      <c r="L16" s="24" t="s">
        <v>24</v>
      </c>
      <c r="M16" s="19" t="s">
        <v>17</v>
      </c>
      <c r="N16" s="20">
        <f>SUMIFS(DADOS!P:P,DADOS!I:I,'COMPRA BARRAMENTO'!L16,DADOS!K:K,'COMPRA BARRAMENTO'!M16,DADOS!H:H,'COMPRA BARRAMENTO'!$X$5)/1000</f>
        <v>0</v>
      </c>
      <c r="O16" s="30"/>
      <c r="Q16" s="24" t="s">
        <v>24</v>
      </c>
      <c r="R16" s="19" t="s">
        <v>39</v>
      </c>
      <c r="S16" s="20">
        <f>SUMIFS(DADOS!P:P,DADOS!I:I,'COMPRA BARRAMENTO'!Q16,DADOS!K:K,'COMPRA BARRAMENTO'!R16,DADOS!H:H,'COMPRA BARRAMENTO'!$X$5)/1000</f>
        <v>0</v>
      </c>
      <c r="T16" s="30"/>
      <c r="AK16" s="2"/>
      <c r="AL16" s="2"/>
      <c r="AM16" s="2"/>
      <c r="AN16" s="2"/>
    </row>
    <row r="17" spans="2:40" ht="24" thickBot="1" x14ac:dyDescent="0.3">
      <c r="B17" s="26" t="s">
        <v>23</v>
      </c>
      <c r="C17" s="27" t="s">
        <v>29</v>
      </c>
      <c r="D17" s="29">
        <f>SUMIFS(DADOS!P:P,DADOS!I:I,'COMPRA BARRAMENTO'!B17,DADOS!K:K,'COMPRA BARRAMENTO'!C17,DADOS!H:H,'COMPRA BARRAMENTO'!$X$5)/1000</f>
        <v>0</v>
      </c>
      <c r="E17" s="28"/>
      <c r="F17" s="2"/>
      <c r="G17" s="26" t="s">
        <v>23</v>
      </c>
      <c r="H17" s="27" t="s">
        <v>18</v>
      </c>
      <c r="I17" s="29">
        <f>SUMIFS(DADOS!P:P,DADOS!I:I,'COMPRA BARRAMENTO'!G17,DADOS!K:K,'COMPRA BARRAMENTO'!H17,DADOS!H:H,'COMPRA BARRAMENTO'!$X$5)/1000</f>
        <v>0</v>
      </c>
      <c r="J17" s="31"/>
      <c r="K17" s="2"/>
      <c r="L17" s="26" t="s">
        <v>23</v>
      </c>
      <c r="M17" s="27" t="s">
        <v>17</v>
      </c>
      <c r="N17" s="29">
        <f>SUMIFS(DADOS!P:P,DADOS!I:I,'COMPRA BARRAMENTO'!L17,DADOS!K:K,'COMPRA BARRAMENTO'!M17,DADOS!H:H,'COMPRA BARRAMENTO'!$X$5)/1000</f>
        <v>0</v>
      </c>
      <c r="O17" s="31"/>
      <c r="Q17" s="26" t="s">
        <v>23</v>
      </c>
      <c r="R17" s="27" t="s">
        <v>39</v>
      </c>
      <c r="S17" s="37">
        <f>SUMIFS(DADOS!P:P,DADOS!I:I,'COMPRA BARRAMENTO'!Q17,DADOS!K:K,'COMPRA BARRAMENTO'!R17,DADOS!H:H,'COMPRA BARRAMENTO'!$X$5)/1000</f>
        <v>0</v>
      </c>
      <c r="T17" s="31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spans="2:40" x14ac:dyDescent="0.25">
      <c r="P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</row>
    <row r="19" spans="2:40" ht="15.75" thickBot="1" x14ac:dyDescent="0.3">
      <c r="P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spans="2:40" x14ac:dyDescent="0.25">
      <c r="B20" s="38" t="s">
        <v>31</v>
      </c>
      <c r="C20" s="39"/>
      <c r="D20" s="39"/>
      <c r="E20" s="40"/>
      <c r="G20" s="38" t="s">
        <v>32</v>
      </c>
      <c r="H20" s="39"/>
      <c r="I20" s="39"/>
      <c r="J20" s="40"/>
      <c r="K20" s="2"/>
      <c r="L20" s="38" t="s">
        <v>33</v>
      </c>
      <c r="M20" s="39"/>
      <c r="N20" s="39"/>
      <c r="O20" s="40"/>
      <c r="P20" s="2"/>
      <c r="Q20" s="38" t="s">
        <v>41</v>
      </c>
      <c r="R20" s="39"/>
      <c r="S20" s="39"/>
      <c r="T20" s="40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</row>
    <row r="21" spans="2:40" ht="15.75" thickBot="1" x14ac:dyDescent="0.3">
      <c r="B21" s="41"/>
      <c r="C21" s="42"/>
      <c r="D21" s="42"/>
      <c r="E21" s="43"/>
      <c r="G21" s="41"/>
      <c r="H21" s="42"/>
      <c r="I21" s="42"/>
      <c r="J21" s="43"/>
      <c r="K21" s="2"/>
      <c r="L21" s="41"/>
      <c r="M21" s="42"/>
      <c r="N21" s="42"/>
      <c r="O21" s="43"/>
      <c r="P21" s="2"/>
      <c r="Q21" s="41"/>
      <c r="R21" s="42"/>
      <c r="S21" s="42"/>
      <c r="T21" s="43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spans="2:40" ht="15.75" thickBot="1" x14ac:dyDescent="0.3">
      <c r="G22" s="2"/>
      <c r="H22" s="2"/>
      <c r="I22" s="2"/>
      <c r="K22" s="2"/>
      <c r="L22" s="2"/>
      <c r="M22" s="2"/>
      <c r="N22" s="2"/>
      <c r="P22" s="2"/>
      <c r="Q22" s="2"/>
      <c r="R22" s="2"/>
      <c r="S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2:40" ht="23.25" x14ac:dyDescent="0.25">
      <c r="B23" s="21" t="s">
        <v>12</v>
      </c>
      <c r="C23" s="22" t="s">
        <v>15</v>
      </c>
      <c r="D23" s="22" t="s">
        <v>13</v>
      </c>
      <c r="E23" s="23" t="s">
        <v>16</v>
      </c>
      <c r="G23" s="21" t="s">
        <v>12</v>
      </c>
      <c r="H23" s="22" t="s">
        <v>15</v>
      </c>
      <c r="I23" s="22" t="s">
        <v>13</v>
      </c>
      <c r="J23" s="23" t="s">
        <v>16</v>
      </c>
      <c r="K23" s="2"/>
      <c r="L23" s="21" t="s">
        <v>12</v>
      </c>
      <c r="M23" s="22" t="s">
        <v>15</v>
      </c>
      <c r="N23" s="22" t="s">
        <v>13</v>
      </c>
      <c r="O23" s="23" t="s">
        <v>16</v>
      </c>
      <c r="P23" s="2"/>
      <c r="Q23" s="21" t="s">
        <v>12</v>
      </c>
      <c r="R23" s="22" t="s">
        <v>15</v>
      </c>
      <c r="S23" s="22" t="s">
        <v>13</v>
      </c>
      <c r="T23" s="23" t="s">
        <v>16</v>
      </c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2:40" ht="23.25" x14ac:dyDescent="0.25">
      <c r="B24" s="24" t="s">
        <v>28</v>
      </c>
      <c r="C24" s="19" t="s">
        <v>29</v>
      </c>
      <c r="D24" s="20">
        <f>SUMIFS(DADOS!P:P,DADOS!I:I,'COMPRA BARRAMENTO'!B24,DADOS!K:K,'COMPRA BARRAMENTO'!C24,DADOS!H:H,'COMPRA BARRAMENTO'!$X$6)/1000</f>
        <v>0</v>
      </c>
      <c r="E24" s="30"/>
      <c r="G24" s="24" t="s">
        <v>28</v>
      </c>
      <c r="H24" s="19" t="s">
        <v>18</v>
      </c>
      <c r="I24" s="20">
        <f>SUMIFS(DADOS!P:P,DADOS!I:I,'COMPRA BARRAMENTO'!G24,DADOS!K:K,'COMPRA BARRAMENTO'!H24,DADOS!H:H,'COMPRA BARRAMENTO'!$X$6)/1000</f>
        <v>0</v>
      </c>
      <c r="J24" s="25"/>
      <c r="K24" s="2"/>
      <c r="L24" s="24" t="s">
        <v>28</v>
      </c>
      <c r="M24" s="19" t="s">
        <v>17</v>
      </c>
      <c r="N24" s="20">
        <f>SUMIFS(DADOS!P:P,DADOS!I:I,'COMPRA BARRAMENTO'!L24,DADOS!K:K,'COMPRA BARRAMENTO'!M24,DADOS!H:H,'COMPRA BARRAMENTO'!$X$6)/1000</f>
        <v>0</v>
      </c>
      <c r="O24" s="30"/>
      <c r="P24" s="2"/>
      <c r="Q24" s="24" t="s">
        <v>28</v>
      </c>
      <c r="R24" s="19" t="s">
        <v>39</v>
      </c>
      <c r="S24" s="20">
        <f>SUMIFS(DADOS!P:P,DADOS!I:I,'COMPRA BARRAMENTO'!Q24,DADOS!K:K,'COMPRA BARRAMENTO'!R24,DADOS!H:H,'COMPRA BARRAMENTO'!$X$6)/1000</f>
        <v>0</v>
      </c>
      <c r="T24" s="30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2:40" ht="23.25" x14ac:dyDescent="0.25">
      <c r="B25" s="24" t="s">
        <v>8</v>
      </c>
      <c r="C25" s="19" t="s">
        <v>29</v>
      </c>
      <c r="D25" s="20">
        <f>SUMIFS(DADOS!P:P,DADOS!I:I,'COMPRA BARRAMENTO'!B25,DADOS!K:K,'COMPRA BARRAMENTO'!C25,DADOS!H:H,'COMPRA BARRAMENTO'!$X$6)/1000</f>
        <v>0</v>
      </c>
      <c r="E25" s="25"/>
      <c r="G25" s="24" t="s">
        <v>8</v>
      </c>
      <c r="H25" s="19" t="s">
        <v>18</v>
      </c>
      <c r="I25" s="20">
        <f>SUMIFS(DADOS!P:P,DADOS!I:I,'COMPRA BARRAMENTO'!G25,DADOS!K:K,'COMPRA BARRAMENTO'!H25,DADOS!H:H,'COMPRA BARRAMENTO'!$X$6)/1000</f>
        <v>0</v>
      </c>
      <c r="J25" s="25"/>
      <c r="K25" s="2"/>
      <c r="L25" s="24" t="s">
        <v>8</v>
      </c>
      <c r="M25" s="19" t="s">
        <v>17</v>
      </c>
      <c r="N25" s="20">
        <f>SUMIFS(DADOS!P:P,DADOS!I:I,'COMPRA BARRAMENTO'!L25,DADOS!K:K,'COMPRA BARRAMENTO'!M25,DADOS!H:H,'COMPRA BARRAMENTO'!$X$6)/1000</f>
        <v>0</v>
      </c>
      <c r="O25" s="25"/>
      <c r="P25" s="2"/>
      <c r="Q25" s="24" t="s">
        <v>8</v>
      </c>
      <c r="R25" s="19" t="s">
        <v>39</v>
      </c>
      <c r="S25" s="20">
        <f>SUMIFS(DADOS!P:P,DADOS!I:I,'COMPRA BARRAMENTO'!Q25,DADOS!K:K,'COMPRA BARRAMENTO'!R25,DADOS!H:H,'COMPRA BARRAMENTO'!$X$6)/1000</f>
        <v>0</v>
      </c>
      <c r="T25" s="25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spans="2:40" ht="23.25" x14ac:dyDescent="0.25">
      <c r="B26" s="24" t="s">
        <v>35</v>
      </c>
      <c r="C26" s="19" t="s">
        <v>29</v>
      </c>
      <c r="D26" s="20">
        <f>SUMIFS(DADOS!P:P,DADOS!I:I,'COMPRA BARRAMENTO'!B26,DADOS!K:K,'COMPRA BARRAMENTO'!C26,DADOS!H:H,'COMPRA BARRAMENTO'!$X$6)/1000</f>
        <v>0</v>
      </c>
      <c r="E26" s="25"/>
      <c r="G26" s="24" t="s">
        <v>35</v>
      </c>
      <c r="H26" s="19" t="s">
        <v>18</v>
      </c>
      <c r="I26" s="20">
        <f>SUMIFS(DADOS!P:P,DADOS!I:I,'COMPRA BARRAMENTO'!G26,DADOS!K:K,'COMPRA BARRAMENTO'!H26,DADOS!H:H,'COMPRA BARRAMENTO'!$X$6)/1000</f>
        <v>0</v>
      </c>
      <c r="J26" s="25"/>
      <c r="K26" s="2"/>
      <c r="L26" s="24" t="s">
        <v>35</v>
      </c>
      <c r="M26" s="19" t="s">
        <v>17</v>
      </c>
      <c r="N26" s="20">
        <f>SUMIFS(DADOS!P:P,DADOS!I:I,'COMPRA BARRAMENTO'!L26,DADOS!K:K,'COMPRA BARRAMENTO'!M26,DADOS!H:H,'COMPRA BARRAMENTO'!$X$6)/1000</f>
        <v>0</v>
      </c>
      <c r="O26" s="25"/>
      <c r="P26" s="2"/>
      <c r="Q26" s="24" t="s">
        <v>35</v>
      </c>
      <c r="R26" s="19" t="s">
        <v>39</v>
      </c>
      <c r="S26" s="20">
        <f>SUMIFS(DADOS!P:P,DADOS!I:I,'COMPRA BARRAMENTO'!Q26,DADOS!K:K,'COMPRA BARRAMENTO'!R26,DADOS!H:H,'COMPRA BARRAMENTO'!$X$6)/1000</f>
        <v>0</v>
      </c>
      <c r="T26" s="25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</row>
    <row r="27" spans="2:40" ht="23.25" x14ac:dyDescent="0.25">
      <c r="B27" s="24" t="s">
        <v>38</v>
      </c>
      <c r="C27" s="19" t="s">
        <v>29</v>
      </c>
      <c r="D27" s="20">
        <f>SUMIFS(DADOS!P:P,DADOS!I:I,'COMPRA BARRAMENTO'!B27,DADOS!K:K,'COMPRA BARRAMENTO'!C27,DADOS!H:H,'COMPRA BARRAMENTO'!$X$6)/1000</f>
        <v>0</v>
      </c>
      <c r="E27" s="25"/>
      <c r="G27" s="24" t="s">
        <v>38</v>
      </c>
      <c r="H27" s="19" t="s">
        <v>18</v>
      </c>
      <c r="I27" s="20">
        <f>SUMIFS(DADOS!P:P,DADOS!I:I,'COMPRA BARRAMENTO'!G27,DADOS!K:K,'COMPRA BARRAMENTO'!H27,DADOS!H:H,'COMPRA BARRAMENTO'!$X$6)/1000</f>
        <v>0</v>
      </c>
      <c r="J27" s="25"/>
      <c r="K27" s="2"/>
      <c r="L27" s="24" t="s">
        <v>38</v>
      </c>
      <c r="M27" s="19" t="s">
        <v>17</v>
      </c>
      <c r="N27" s="20">
        <f>SUMIFS(DADOS!P:P,DADOS!I:I,'COMPRA BARRAMENTO'!L27,DADOS!K:K,'COMPRA BARRAMENTO'!M27,DADOS!H:H,'COMPRA BARRAMENTO'!$X$6)/1000</f>
        <v>0</v>
      </c>
      <c r="O27" s="30"/>
      <c r="P27" s="2"/>
      <c r="Q27" s="24" t="s">
        <v>38</v>
      </c>
      <c r="R27" s="19" t="s">
        <v>39</v>
      </c>
      <c r="S27" s="20">
        <f>SUMIFS(DADOS!P:P,DADOS!I:I,'COMPRA BARRAMENTO'!Q27,DADOS!K:K,'COMPRA BARRAMENTO'!R27,DADOS!H:H,'COMPRA BARRAMENTO'!$X$6)/1000</f>
        <v>0</v>
      </c>
      <c r="T27" s="30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spans="2:40" ht="23.25" x14ac:dyDescent="0.25">
      <c r="B28" s="24" t="s">
        <v>7</v>
      </c>
      <c r="C28" s="19" t="s">
        <v>29</v>
      </c>
      <c r="D28" s="20">
        <f>SUMIFS(DADOS!P:P,DADOS!I:I,'COMPRA BARRAMENTO'!B28,DADOS!K:K,'COMPRA BARRAMENTO'!C28,DADOS!H:H,'COMPRA BARRAMENTO'!$X$6)/1000</f>
        <v>0</v>
      </c>
      <c r="E28" s="25"/>
      <c r="G28" s="24" t="s">
        <v>7</v>
      </c>
      <c r="H28" s="19" t="s">
        <v>18</v>
      </c>
      <c r="I28" s="20">
        <f>SUMIFS(DADOS!P:P,DADOS!I:I,'COMPRA BARRAMENTO'!G28,DADOS!K:K,'COMPRA BARRAMENTO'!H28,DADOS!H:H,'COMPRA BARRAMENTO'!$X$6)/1000</f>
        <v>0</v>
      </c>
      <c r="J28" s="25"/>
      <c r="K28" s="2"/>
      <c r="L28" s="24" t="s">
        <v>7</v>
      </c>
      <c r="M28" s="19" t="s">
        <v>17</v>
      </c>
      <c r="N28" s="20">
        <f>SUMIFS(DADOS!P:P,DADOS!I:I,'COMPRA BARRAMENTO'!L28,DADOS!K:K,'COMPRA BARRAMENTO'!M28,DADOS!H:H,'COMPRA BARRAMENTO'!$X$6)/1000</f>
        <v>0</v>
      </c>
      <c r="O28" s="30"/>
      <c r="P28" s="2"/>
      <c r="Q28" s="24" t="s">
        <v>7</v>
      </c>
      <c r="R28" s="19" t="s">
        <v>39</v>
      </c>
      <c r="S28" s="20">
        <f>SUMIFS(DADOS!P:P,DADOS!I:I,'COMPRA BARRAMENTO'!Q28,DADOS!K:K,'COMPRA BARRAMENTO'!R28,DADOS!H:H,'COMPRA BARRAMENTO'!$X$6)/1000</f>
        <v>0</v>
      </c>
      <c r="T28" s="30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spans="2:40" ht="23.25" x14ac:dyDescent="0.25">
      <c r="B29" s="24" t="s">
        <v>37</v>
      </c>
      <c r="C29" s="19" t="s">
        <v>29</v>
      </c>
      <c r="D29" s="20">
        <f>SUMIFS(DADOS!P:P,DADOS!I:I,'COMPRA BARRAMENTO'!B29,DADOS!K:K,'COMPRA BARRAMENTO'!C29,DADOS!H:H,'COMPRA BARRAMENTO'!$X$6)/1000</f>
        <v>0</v>
      </c>
      <c r="E29" s="25"/>
      <c r="G29" s="24" t="s">
        <v>37</v>
      </c>
      <c r="H29" s="19" t="s">
        <v>18</v>
      </c>
      <c r="I29" s="20">
        <f>SUMIFS(DADOS!P:P,DADOS!I:I,'COMPRA BARRAMENTO'!G29,DADOS!K:K,'COMPRA BARRAMENTO'!H29,DADOS!H:H,'COMPRA BARRAMENTO'!$X$6)/1000</f>
        <v>0</v>
      </c>
      <c r="J29" s="25"/>
      <c r="K29" s="2"/>
      <c r="L29" s="24" t="s">
        <v>37</v>
      </c>
      <c r="M29" s="19" t="s">
        <v>17</v>
      </c>
      <c r="N29" s="20">
        <f>SUMIFS(DADOS!P:P,DADOS!I:I,'COMPRA BARRAMENTO'!L29,DADOS!K:K,'COMPRA BARRAMENTO'!M29,DADOS!H:H,'COMPRA BARRAMENTO'!$X$6)/1000</f>
        <v>0</v>
      </c>
      <c r="O29" s="25"/>
      <c r="P29" s="2"/>
      <c r="Q29" s="24" t="s">
        <v>37</v>
      </c>
      <c r="R29" s="19" t="s">
        <v>39</v>
      </c>
      <c r="S29" s="20">
        <f>SUMIFS(DADOS!P:P,DADOS!I:I,'COMPRA BARRAMENTO'!Q29,DADOS!K:K,'COMPRA BARRAMENTO'!R29,DADOS!H:H,'COMPRA BARRAMENTO'!$X$6)/1000</f>
        <v>0</v>
      </c>
      <c r="T29" s="25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spans="2:40" ht="23.25" x14ac:dyDescent="0.25">
      <c r="B30" s="24" t="s">
        <v>25</v>
      </c>
      <c r="C30" s="19" t="s">
        <v>29</v>
      </c>
      <c r="D30" s="20">
        <f>SUMIFS(DADOS!P:P,DADOS!I:I,'COMPRA BARRAMENTO'!B30,DADOS!K:K,'COMPRA BARRAMENTO'!C30,DADOS!H:H,'COMPRA BARRAMENTO'!$X$6)/1000</f>
        <v>0</v>
      </c>
      <c r="E30" s="25"/>
      <c r="G30" s="24" t="s">
        <v>25</v>
      </c>
      <c r="H30" s="19" t="s">
        <v>18</v>
      </c>
      <c r="I30" s="20">
        <f>SUMIFS(DADOS!P:P,DADOS!I:I,'COMPRA BARRAMENTO'!G30,DADOS!K:K,'COMPRA BARRAMENTO'!H30,DADOS!H:H,'COMPRA BARRAMENTO'!$X$6)/1000</f>
        <v>0</v>
      </c>
      <c r="J30" s="25"/>
      <c r="K30" s="2"/>
      <c r="L30" s="24" t="s">
        <v>25</v>
      </c>
      <c r="M30" s="19" t="s">
        <v>17</v>
      </c>
      <c r="N30" s="20">
        <f>SUMIFS(DADOS!P:P,DADOS!I:I,'COMPRA BARRAMENTO'!L30,DADOS!K:K,'COMPRA BARRAMENTO'!M30,DADOS!H:H,'COMPRA BARRAMENTO'!$X$6)/1000</f>
        <v>0</v>
      </c>
      <c r="O30" s="25"/>
      <c r="P30" s="2"/>
      <c r="Q30" s="24" t="s">
        <v>25</v>
      </c>
      <c r="R30" s="19" t="s">
        <v>39</v>
      </c>
      <c r="S30" s="20">
        <f>SUMIFS(DADOS!P:P,DADOS!I:I,'COMPRA BARRAMENTO'!Q30,DADOS!K:K,'COMPRA BARRAMENTO'!R30,DADOS!H:H,'COMPRA BARRAMENTO'!$X$6)/1000</f>
        <v>0</v>
      </c>
      <c r="T30" s="25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spans="2:40" ht="23.25" x14ac:dyDescent="0.25">
      <c r="B31" s="24" t="s">
        <v>36</v>
      </c>
      <c r="C31" s="19" t="s">
        <v>29</v>
      </c>
      <c r="D31" s="20">
        <f>SUMIFS(DADOS!P:P,DADOS!I:I,'COMPRA BARRAMENTO'!B31,DADOS!K:K,'COMPRA BARRAMENTO'!C31,DADOS!H:H,'COMPRA BARRAMENTO'!$X$6)/1000</f>
        <v>0</v>
      </c>
      <c r="E31" s="25"/>
      <c r="G31" s="24" t="s">
        <v>36</v>
      </c>
      <c r="H31" s="19" t="s">
        <v>18</v>
      </c>
      <c r="I31" s="20">
        <f>SUMIFS(DADOS!P:P,DADOS!I:I,'COMPRA BARRAMENTO'!G31,DADOS!K:K,'COMPRA BARRAMENTO'!H31,DADOS!H:H,'COMPRA BARRAMENTO'!$X$6)/1000</f>
        <v>0</v>
      </c>
      <c r="J31" s="25"/>
      <c r="K31" s="2"/>
      <c r="L31" s="24" t="s">
        <v>36</v>
      </c>
      <c r="M31" s="19" t="s">
        <v>17</v>
      </c>
      <c r="N31" s="20">
        <f>SUMIFS(DADOS!P:P,DADOS!I:I,'COMPRA BARRAMENTO'!L31,DADOS!K:K,'COMPRA BARRAMENTO'!M31,DADOS!H:H,'COMPRA BARRAMENTO'!$X$6)/1000</f>
        <v>0</v>
      </c>
      <c r="O31" s="25"/>
      <c r="P31" s="2"/>
      <c r="Q31" s="24" t="s">
        <v>36</v>
      </c>
      <c r="R31" s="19" t="s">
        <v>39</v>
      </c>
      <c r="S31" s="20">
        <f>SUMIFS(DADOS!P:P,DADOS!I:I,'COMPRA BARRAMENTO'!Q31,DADOS!K:K,'COMPRA BARRAMENTO'!R31,DADOS!H:H,'COMPRA BARRAMENTO'!$X$6)/1000</f>
        <v>0</v>
      </c>
      <c r="T31" s="25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spans="2:40" ht="23.25" x14ac:dyDescent="0.25">
      <c r="B32" s="24" t="s">
        <v>9</v>
      </c>
      <c r="C32" s="19" t="s">
        <v>29</v>
      </c>
      <c r="D32" s="20">
        <f>SUMIFS(DADOS!P:P,DADOS!I:I,'COMPRA BARRAMENTO'!B32,DADOS!K:K,'COMPRA BARRAMENTO'!C32,DADOS!H:H,'COMPRA BARRAMENTO'!$X$6)/1000</f>
        <v>0</v>
      </c>
      <c r="E32" s="25"/>
      <c r="G32" s="24" t="s">
        <v>9</v>
      </c>
      <c r="H32" s="19" t="s">
        <v>18</v>
      </c>
      <c r="I32" s="20">
        <f>SUMIFS(DADOS!P:P,DADOS!I:I,'COMPRA BARRAMENTO'!G32,DADOS!K:K,'COMPRA BARRAMENTO'!H32,DADOS!H:H,'COMPRA BARRAMENTO'!$X$6)/1000</f>
        <v>0</v>
      </c>
      <c r="J32" s="25"/>
      <c r="K32" s="2"/>
      <c r="L32" s="24" t="s">
        <v>9</v>
      </c>
      <c r="M32" s="19" t="s">
        <v>17</v>
      </c>
      <c r="N32" s="20">
        <f>SUMIFS(DADOS!P:P,DADOS!I:I,'COMPRA BARRAMENTO'!L32,DADOS!K:K,'COMPRA BARRAMENTO'!M32,DADOS!H:H,'COMPRA BARRAMENTO'!$X$6)/1000</f>
        <v>0</v>
      </c>
      <c r="O32" s="25"/>
      <c r="P32" s="2"/>
      <c r="Q32" s="24" t="s">
        <v>9</v>
      </c>
      <c r="R32" s="19" t="s">
        <v>39</v>
      </c>
      <c r="S32" s="20">
        <f>SUMIFS(DADOS!P:P,DADOS!I:I,'COMPRA BARRAMENTO'!Q32,DADOS!K:K,'COMPRA BARRAMENTO'!R32,DADOS!H:H,'COMPRA BARRAMENTO'!$X$6)/1000</f>
        <v>0</v>
      </c>
      <c r="T32" s="25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spans="2:20" s="2" customFormat="1" ht="23.25" x14ac:dyDescent="0.25">
      <c r="B33" s="24" t="s">
        <v>14</v>
      </c>
      <c r="C33" s="19" t="s">
        <v>29</v>
      </c>
      <c r="D33" s="20">
        <f>SUMIFS(DADOS!P:P,DADOS!I:I,'COMPRA BARRAMENTO'!B33,DADOS!K:K,'COMPRA BARRAMENTO'!C33,DADOS!H:H,'COMPRA BARRAMENTO'!$X$6)/1000</f>
        <v>0</v>
      </c>
      <c r="E33" s="25"/>
      <c r="F33" s="1"/>
      <c r="G33" s="24" t="s">
        <v>14</v>
      </c>
      <c r="H33" s="19" t="s">
        <v>18</v>
      </c>
      <c r="I33" s="20">
        <f>SUMIFS(DADOS!P:P,DADOS!I:I,'COMPRA BARRAMENTO'!G33,DADOS!K:K,'COMPRA BARRAMENTO'!H33,DADOS!H:H,'COMPRA BARRAMENTO'!$X$6)/1000</f>
        <v>0</v>
      </c>
      <c r="J33" s="25"/>
      <c r="L33" s="24" t="s">
        <v>14</v>
      </c>
      <c r="M33" s="19" t="s">
        <v>17</v>
      </c>
      <c r="N33" s="20">
        <f>SUMIFS(DADOS!P:P,DADOS!I:I,'COMPRA BARRAMENTO'!L33,DADOS!K:K,'COMPRA BARRAMENTO'!M33,DADOS!H:H,'COMPRA BARRAMENTO'!$X$6)/1000</f>
        <v>0</v>
      </c>
      <c r="O33" s="25"/>
      <c r="Q33" s="24" t="s">
        <v>14</v>
      </c>
      <c r="R33" s="19" t="s">
        <v>39</v>
      </c>
      <c r="S33" s="20">
        <f>SUMIFS(DADOS!P:P,DADOS!I:I,'COMPRA BARRAMENTO'!Q33,DADOS!K:K,'COMPRA BARRAMENTO'!R33,DADOS!H:H,'COMPRA BARRAMENTO'!$X$6)/1000</f>
        <v>0</v>
      </c>
      <c r="T33" s="25"/>
    </row>
    <row r="34" spans="2:20" s="2" customFormat="1" ht="23.25" x14ac:dyDescent="0.25">
      <c r="B34" s="24" t="s">
        <v>24</v>
      </c>
      <c r="C34" s="19" t="s">
        <v>29</v>
      </c>
      <c r="D34" s="20">
        <f>SUMIFS(DADOS!P:P,DADOS!I:I,'COMPRA BARRAMENTO'!B34,DADOS!K:K,'COMPRA BARRAMENTO'!C34,DADOS!H:H,'COMPRA BARRAMENTO'!$X$6)/1000</f>
        <v>0</v>
      </c>
      <c r="E34" s="25"/>
      <c r="F34" s="1"/>
      <c r="G34" s="24" t="s">
        <v>24</v>
      </c>
      <c r="H34" s="19" t="s">
        <v>18</v>
      </c>
      <c r="I34" s="20">
        <f>SUMIFS(DADOS!P:P,DADOS!I:I,'COMPRA BARRAMENTO'!G34,DADOS!K:K,'COMPRA BARRAMENTO'!H34,DADOS!H:H,'COMPRA BARRAMENTO'!$X$6)/1000</f>
        <v>0</v>
      </c>
      <c r="J34" s="25"/>
      <c r="L34" s="24" t="s">
        <v>24</v>
      </c>
      <c r="M34" s="19" t="s">
        <v>17</v>
      </c>
      <c r="N34" s="20">
        <f>SUMIFS(DADOS!P:P,DADOS!I:I,'COMPRA BARRAMENTO'!L34,DADOS!K:K,'COMPRA BARRAMENTO'!M34,DADOS!H:H,'COMPRA BARRAMENTO'!$X$6)/1000</f>
        <v>0</v>
      </c>
      <c r="O34" s="25"/>
      <c r="Q34" s="24" t="s">
        <v>24</v>
      </c>
      <c r="R34" s="19" t="s">
        <v>39</v>
      </c>
      <c r="S34" s="20">
        <f>SUMIFS(DADOS!P:P,DADOS!I:I,'COMPRA BARRAMENTO'!Q34,DADOS!K:K,'COMPRA BARRAMENTO'!R34,DADOS!H:H,'COMPRA BARRAMENTO'!$X$6)/1000</f>
        <v>0</v>
      </c>
      <c r="T34" s="25"/>
    </row>
    <row r="35" spans="2:20" s="2" customFormat="1" ht="24" thickBot="1" x14ac:dyDescent="0.3">
      <c r="B35" s="26" t="s">
        <v>23</v>
      </c>
      <c r="C35" s="27" t="s">
        <v>29</v>
      </c>
      <c r="D35" s="29">
        <f>SUMIFS(DADOS!P:P,DADOS!I:I,'COMPRA BARRAMENTO'!B35,DADOS!K:K,'COMPRA BARRAMENTO'!C35,DADOS!H:H,'COMPRA BARRAMENTO'!$X$6)/1000</f>
        <v>0</v>
      </c>
      <c r="E35" s="28"/>
      <c r="G35" s="26" t="s">
        <v>23</v>
      </c>
      <c r="H35" s="27" t="s">
        <v>18</v>
      </c>
      <c r="I35" s="29">
        <f>SUMIFS(DADOS!P:P,DADOS!I:I,'COMPRA BARRAMENTO'!G35,DADOS!K:K,'COMPRA BARRAMENTO'!H35,DADOS!H:H,'COMPRA BARRAMENTO'!$X$6)/1000</f>
        <v>0</v>
      </c>
      <c r="J35" s="28"/>
      <c r="L35" s="26" t="s">
        <v>23</v>
      </c>
      <c r="M35" s="27" t="s">
        <v>17</v>
      </c>
      <c r="N35" s="29">
        <f>SUMIFS(DADOS!P:P,DADOS!I:I,'COMPRA BARRAMENTO'!L35,DADOS!K:K,'COMPRA BARRAMENTO'!M35,DADOS!H:H,'COMPRA BARRAMENTO'!$X$6)/1000</f>
        <v>0</v>
      </c>
      <c r="O35" s="28"/>
      <c r="Q35" s="26" t="s">
        <v>23</v>
      </c>
      <c r="R35" s="27" t="s">
        <v>39</v>
      </c>
      <c r="S35" s="29">
        <f>SUMIFS(DADOS!P:P,DADOS!I:I,'COMPRA BARRAMENTO'!Q35,DADOS!K:K,'COMPRA BARRAMENTO'!R35,DADOS!H:H,'COMPRA BARRAMENTO'!$X$6)/1000</f>
        <v>0</v>
      </c>
      <c r="T35" s="28"/>
    </row>
    <row r="36" spans="2:20" s="2" customFormat="1" x14ac:dyDescent="0.25"/>
    <row r="37" spans="2:20" s="2" customFormat="1" x14ac:dyDescent="0.25"/>
    <row r="38" spans="2:20" s="2" customFormat="1" x14ac:dyDescent="0.25"/>
    <row r="39" spans="2:20" s="2" customFormat="1" x14ac:dyDescent="0.25"/>
    <row r="40" spans="2:20" s="2" customFormat="1" x14ac:dyDescent="0.25"/>
    <row r="41" spans="2:20" s="2" customFormat="1" x14ac:dyDescent="0.25"/>
    <row r="42" spans="2:20" s="2" customFormat="1" x14ac:dyDescent="0.25"/>
    <row r="43" spans="2:20" s="2" customFormat="1" x14ac:dyDescent="0.25"/>
    <row r="44" spans="2:20" s="2" customFormat="1" x14ac:dyDescent="0.25"/>
    <row r="45" spans="2:20" s="2" customFormat="1" x14ac:dyDescent="0.25"/>
    <row r="46" spans="2:20" s="2" customFormat="1" x14ac:dyDescent="0.25"/>
    <row r="47" spans="2:20" s="2" customFormat="1" x14ac:dyDescent="0.25"/>
    <row r="48" spans="2:20" s="2" customFormat="1" x14ac:dyDescent="0.25"/>
    <row r="49" s="2" customFormat="1" x14ac:dyDescent="0.25"/>
    <row r="50" s="2" customFormat="1" x14ac:dyDescent="0.25"/>
    <row r="51" s="2" customFormat="1" x14ac:dyDescent="0.25"/>
    <row r="52" s="2" customFormat="1" x14ac:dyDescent="0.25"/>
    <row r="53" s="2" customFormat="1" x14ac:dyDescent="0.25"/>
    <row r="54" s="2" customFormat="1" x14ac:dyDescent="0.25"/>
    <row r="55" s="2" customFormat="1" x14ac:dyDescent="0.25"/>
    <row r="56" s="2" customFormat="1" x14ac:dyDescent="0.25"/>
    <row r="57" s="2" customFormat="1" x14ac:dyDescent="0.25"/>
    <row r="58" s="2" customFormat="1" x14ac:dyDescent="0.25"/>
    <row r="59" s="2" customFormat="1" x14ac:dyDescent="0.25"/>
    <row r="60" s="2" customFormat="1" x14ac:dyDescent="0.25"/>
    <row r="61" s="2" customFormat="1" x14ac:dyDescent="0.25"/>
    <row r="62" s="2" customFormat="1" x14ac:dyDescent="0.25"/>
    <row r="63" s="2" customFormat="1" x14ac:dyDescent="0.25"/>
    <row r="64" s="2" customFormat="1" x14ac:dyDescent="0.25"/>
    <row r="65" s="2" customFormat="1" x14ac:dyDescent="0.25"/>
    <row r="66" s="2" customFormat="1" x14ac:dyDescent="0.25"/>
    <row r="67" s="2" customFormat="1" x14ac:dyDescent="0.25"/>
    <row r="68" s="2" customFormat="1" x14ac:dyDescent="0.25"/>
    <row r="69" s="2" customFormat="1" x14ac:dyDescent="0.25"/>
    <row r="70" s="2" customFormat="1" x14ac:dyDescent="0.25"/>
    <row r="71" s="2" customFormat="1" x14ac:dyDescent="0.25"/>
    <row r="72" s="2" customFormat="1" x14ac:dyDescent="0.25"/>
    <row r="73" s="2" customFormat="1" x14ac:dyDescent="0.25"/>
    <row r="74" s="2" customFormat="1" x14ac:dyDescent="0.25"/>
    <row r="75" s="2" customFormat="1" x14ac:dyDescent="0.25"/>
    <row r="76" s="2" customFormat="1" x14ac:dyDescent="0.25"/>
    <row r="77" s="2" customFormat="1" x14ac:dyDescent="0.25"/>
    <row r="78" s="2" customFormat="1" x14ac:dyDescent="0.25"/>
    <row r="79" s="2" customFormat="1" x14ac:dyDescent="0.25"/>
    <row r="80" s="2" customFormat="1" x14ac:dyDescent="0.25"/>
    <row r="81" s="2" customFormat="1" x14ac:dyDescent="0.25"/>
    <row r="82" s="2" customFormat="1" x14ac:dyDescent="0.25"/>
    <row r="83" s="2" customFormat="1" x14ac:dyDescent="0.25"/>
    <row r="84" s="2" customFormat="1" x14ac:dyDescent="0.25"/>
    <row r="85" s="2" customFormat="1" x14ac:dyDescent="0.25"/>
    <row r="86" s="2" customFormat="1" x14ac:dyDescent="0.25"/>
    <row r="87" s="2" customFormat="1" x14ac:dyDescent="0.25"/>
    <row r="88" s="2" customFormat="1" x14ac:dyDescent="0.25"/>
    <row r="89" s="2" customFormat="1" x14ac:dyDescent="0.25"/>
    <row r="90" s="2" customFormat="1" x14ac:dyDescent="0.25"/>
    <row r="91" s="2" customFormat="1" x14ac:dyDescent="0.25"/>
    <row r="92" s="2" customFormat="1" x14ac:dyDescent="0.25"/>
    <row r="93" s="2" customFormat="1" x14ac:dyDescent="0.25"/>
    <row r="94" s="2" customFormat="1" x14ac:dyDescent="0.25"/>
    <row r="95" s="2" customFormat="1" x14ac:dyDescent="0.25"/>
    <row r="96" s="2" customFormat="1" x14ac:dyDescent="0.25"/>
    <row r="97" s="2" customFormat="1" x14ac:dyDescent="0.25"/>
    <row r="98" s="2" customFormat="1" x14ac:dyDescent="0.25"/>
    <row r="99" s="2" customFormat="1" x14ac:dyDescent="0.25"/>
    <row r="100" s="2" customFormat="1" x14ac:dyDescent="0.25"/>
    <row r="101" s="2" customFormat="1" x14ac:dyDescent="0.25"/>
    <row r="102" s="2" customFormat="1" x14ac:dyDescent="0.25"/>
    <row r="103" s="2" customFormat="1" x14ac:dyDescent="0.25"/>
    <row r="104" s="2" customFormat="1" x14ac:dyDescent="0.25"/>
    <row r="105" s="2" customFormat="1" x14ac:dyDescent="0.25"/>
    <row r="106" s="2" customFormat="1" x14ac:dyDescent="0.25"/>
    <row r="107" s="2" customFormat="1" x14ac:dyDescent="0.25"/>
    <row r="108" s="2" customFormat="1" x14ac:dyDescent="0.25"/>
    <row r="109" s="2" customFormat="1" x14ac:dyDescent="0.25"/>
    <row r="110" s="2" customFormat="1" x14ac:dyDescent="0.25"/>
    <row r="111" s="2" customFormat="1" x14ac:dyDescent="0.25"/>
    <row r="112" s="2" customFormat="1" x14ac:dyDescent="0.25"/>
    <row r="113" s="2" customFormat="1" x14ac:dyDescent="0.25"/>
    <row r="114" s="2" customFormat="1" x14ac:dyDescent="0.25"/>
    <row r="115" s="2" customFormat="1" x14ac:dyDescent="0.25"/>
    <row r="116" s="2" customFormat="1" x14ac:dyDescent="0.25"/>
    <row r="117" s="2" customFormat="1" x14ac:dyDescent="0.25"/>
    <row r="118" s="2" customFormat="1" x14ac:dyDescent="0.25"/>
    <row r="119" s="2" customFormat="1" x14ac:dyDescent="0.25"/>
    <row r="120" s="2" customFormat="1" x14ac:dyDescent="0.25"/>
    <row r="121" s="2" customFormat="1" x14ac:dyDescent="0.25"/>
    <row r="122" s="2" customFormat="1" x14ac:dyDescent="0.25"/>
    <row r="123" s="2" customFormat="1" x14ac:dyDescent="0.25"/>
    <row r="124" s="2" customFormat="1" x14ac:dyDescent="0.25"/>
    <row r="125" s="2" customFormat="1" x14ac:dyDescent="0.25"/>
    <row r="126" s="2" customFormat="1" x14ac:dyDescent="0.25"/>
    <row r="127" s="2" customFormat="1" x14ac:dyDescent="0.25"/>
    <row r="128" s="2" customFormat="1" x14ac:dyDescent="0.25"/>
    <row r="129" s="2" customFormat="1" x14ac:dyDescent="0.25"/>
    <row r="130" s="2" customFormat="1" x14ac:dyDescent="0.25"/>
    <row r="131" s="2" customFormat="1" x14ac:dyDescent="0.25"/>
    <row r="132" s="2" customFormat="1" x14ac:dyDescent="0.25"/>
    <row r="133" s="2" customFormat="1" x14ac:dyDescent="0.25"/>
    <row r="134" s="2" customFormat="1" x14ac:dyDescent="0.25"/>
    <row r="135" s="2" customFormat="1" x14ac:dyDescent="0.25"/>
    <row r="136" s="2" customFormat="1" x14ac:dyDescent="0.25"/>
    <row r="137" s="2" customFormat="1" x14ac:dyDescent="0.25"/>
    <row r="138" s="2" customFormat="1" x14ac:dyDescent="0.25"/>
    <row r="139" s="2" customFormat="1" x14ac:dyDescent="0.25"/>
    <row r="140" s="2" customFormat="1" x14ac:dyDescent="0.25"/>
    <row r="141" s="2" customFormat="1" x14ac:dyDescent="0.25"/>
    <row r="142" s="2" customFormat="1" x14ac:dyDescent="0.25"/>
    <row r="143" s="2" customFormat="1" x14ac:dyDescent="0.25"/>
    <row r="144" s="2" customFormat="1" x14ac:dyDescent="0.25"/>
    <row r="145" s="2" customFormat="1" x14ac:dyDescent="0.25"/>
    <row r="146" s="2" customFormat="1" x14ac:dyDescent="0.25"/>
    <row r="147" s="2" customFormat="1" x14ac:dyDescent="0.25"/>
    <row r="148" s="2" customFormat="1" x14ac:dyDescent="0.25"/>
    <row r="149" s="2" customFormat="1" x14ac:dyDescent="0.25"/>
    <row r="150" s="2" customFormat="1" x14ac:dyDescent="0.25"/>
    <row r="151" s="2" customFormat="1" x14ac:dyDescent="0.25"/>
    <row r="152" s="2" customFormat="1" x14ac:dyDescent="0.25"/>
    <row r="153" s="2" customFormat="1" x14ac:dyDescent="0.25"/>
    <row r="154" s="2" customFormat="1" x14ac:dyDescent="0.25"/>
    <row r="155" s="2" customFormat="1" x14ac:dyDescent="0.25"/>
    <row r="156" s="2" customFormat="1" x14ac:dyDescent="0.25"/>
    <row r="157" s="2" customFormat="1" x14ac:dyDescent="0.25"/>
    <row r="158" s="2" customFormat="1" x14ac:dyDescent="0.25"/>
    <row r="159" s="2" customFormat="1" x14ac:dyDescent="0.25"/>
    <row r="160" s="2" customFormat="1" x14ac:dyDescent="0.25"/>
    <row r="161" s="2" customFormat="1" x14ac:dyDescent="0.25"/>
    <row r="162" s="2" customFormat="1" x14ac:dyDescent="0.25"/>
    <row r="163" s="2" customFormat="1" x14ac:dyDescent="0.25"/>
    <row r="164" s="2" customFormat="1" x14ac:dyDescent="0.25"/>
    <row r="165" s="2" customFormat="1" x14ac:dyDescent="0.25"/>
    <row r="166" s="2" customFormat="1" x14ac:dyDescent="0.25"/>
    <row r="167" s="2" customFormat="1" x14ac:dyDescent="0.25"/>
    <row r="168" s="2" customFormat="1" x14ac:dyDescent="0.25"/>
    <row r="169" s="2" customFormat="1" x14ac:dyDescent="0.25"/>
    <row r="170" s="2" customFormat="1" x14ac:dyDescent="0.25"/>
    <row r="171" s="2" customFormat="1" x14ac:dyDescent="0.25"/>
    <row r="172" s="2" customFormat="1" x14ac:dyDescent="0.25"/>
    <row r="173" s="2" customFormat="1" x14ac:dyDescent="0.25"/>
    <row r="174" s="2" customFormat="1" x14ac:dyDescent="0.25"/>
    <row r="175" s="2" customFormat="1" x14ac:dyDescent="0.25"/>
    <row r="176" s="2" customFormat="1" x14ac:dyDescent="0.25"/>
    <row r="177" s="2" customFormat="1" x14ac:dyDescent="0.25"/>
    <row r="178" s="2" customFormat="1" x14ac:dyDescent="0.25"/>
    <row r="179" s="2" customFormat="1" x14ac:dyDescent="0.25"/>
    <row r="180" s="2" customFormat="1" x14ac:dyDescent="0.25"/>
    <row r="181" s="2" customFormat="1" x14ac:dyDescent="0.25"/>
    <row r="182" s="2" customFormat="1" x14ac:dyDescent="0.25"/>
    <row r="183" s="2" customFormat="1" x14ac:dyDescent="0.25"/>
    <row r="184" s="2" customFormat="1" x14ac:dyDescent="0.25"/>
    <row r="185" s="2" customFormat="1" x14ac:dyDescent="0.25"/>
    <row r="186" s="2" customFormat="1" x14ac:dyDescent="0.25"/>
    <row r="187" s="2" customFormat="1" x14ac:dyDescent="0.25"/>
    <row r="188" s="2" customFormat="1" x14ac:dyDescent="0.25"/>
    <row r="189" s="2" customFormat="1" x14ac:dyDescent="0.25"/>
    <row r="190" s="2" customFormat="1" x14ac:dyDescent="0.25"/>
    <row r="191" s="2" customFormat="1" x14ac:dyDescent="0.25"/>
    <row r="192" s="2" customFormat="1" x14ac:dyDescent="0.25"/>
    <row r="193" s="2" customFormat="1" x14ac:dyDescent="0.25"/>
    <row r="194" s="2" customFormat="1" x14ac:dyDescent="0.25"/>
    <row r="195" s="2" customFormat="1" x14ac:dyDescent="0.25"/>
    <row r="196" s="2" customFormat="1" x14ac:dyDescent="0.25"/>
    <row r="197" s="2" customFormat="1" x14ac:dyDescent="0.25"/>
    <row r="198" s="2" customFormat="1" x14ac:dyDescent="0.25"/>
    <row r="199" s="2" customFormat="1" x14ac:dyDescent="0.25"/>
    <row r="200" s="2" customFormat="1" x14ac:dyDescent="0.25"/>
    <row r="201" s="2" customFormat="1" x14ac:dyDescent="0.25"/>
    <row r="202" s="2" customFormat="1" x14ac:dyDescent="0.25"/>
    <row r="203" s="2" customFormat="1" x14ac:dyDescent="0.25"/>
    <row r="204" s="2" customFormat="1" x14ac:dyDescent="0.25"/>
    <row r="205" s="2" customFormat="1" x14ac:dyDescent="0.25"/>
    <row r="206" s="2" customFormat="1" x14ac:dyDescent="0.25"/>
    <row r="207" s="2" customFormat="1" x14ac:dyDescent="0.25"/>
    <row r="208" s="2" customFormat="1" x14ac:dyDescent="0.25"/>
    <row r="209" s="2" customFormat="1" x14ac:dyDescent="0.25"/>
    <row r="210" s="2" customFormat="1" x14ac:dyDescent="0.25"/>
    <row r="211" s="2" customFormat="1" x14ac:dyDescent="0.25"/>
    <row r="212" s="2" customFormat="1" x14ac:dyDescent="0.25"/>
    <row r="213" s="2" customFormat="1" x14ac:dyDescent="0.25"/>
    <row r="214" s="2" customFormat="1" x14ac:dyDescent="0.25"/>
    <row r="215" s="2" customFormat="1" x14ac:dyDescent="0.25"/>
    <row r="216" s="2" customFormat="1" x14ac:dyDescent="0.25"/>
    <row r="217" s="2" customFormat="1" x14ac:dyDescent="0.25"/>
    <row r="218" s="2" customFormat="1" x14ac:dyDescent="0.25"/>
    <row r="219" s="2" customFormat="1" x14ac:dyDescent="0.25"/>
    <row r="220" s="2" customFormat="1" x14ac:dyDescent="0.25"/>
    <row r="221" s="2" customFormat="1" x14ac:dyDescent="0.25"/>
    <row r="222" s="2" customFormat="1" x14ac:dyDescent="0.25"/>
    <row r="223" s="2" customFormat="1" x14ac:dyDescent="0.25"/>
    <row r="224" s="2" customFormat="1" x14ac:dyDescent="0.25"/>
    <row r="225" s="2" customFormat="1" x14ac:dyDescent="0.25"/>
    <row r="226" s="2" customFormat="1" x14ac:dyDescent="0.25"/>
    <row r="227" s="2" customFormat="1" x14ac:dyDescent="0.25"/>
    <row r="228" s="2" customFormat="1" x14ac:dyDescent="0.25"/>
    <row r="229" s="2" customFormat="1" x14ac:dyDescent="0.25"/>
    <row r="230" s="2" customFormat="1" x14ac:dyDescent="0.25"/>
    <row r="231" s="2" customFormat="1" x14ac:dyDescent="0.25"/>
    <row r="232" s="2" customFormat="1" x14ac:dyDescent="0.25"/>
    <row r="233" s="2" customFormat="1" x14ac:dyDescent="0.25"/>
    <row r="234" s="2" customFormat="1" x14ac:dyDescent="0.25"/>
    <row r="235" s="2" customFormat="1" x14ac:dyDescent="0.25"/>
    <row r="236" s="2" customFormat="1" x14ac:dyDescent="0.25"/>
    <row r="237" s="2" customFormat="1" x14ac:dyDescent="0.25"/>
    <row r="238" s="2" customFormat="1" x14ac:dyDescent="0.25"/>
    <row r="239" s="2" customFormat="1" x14ac:dyDescent="0.25"/>
    <row r="240" s="2" customFormat="1" x14ac:dyDescent="0.25"/>
    <row r="241" s="2" customFormat="1" x14ac:dyDescent="0.25"/>
    <row r="242" s="2" customFormat="1" x14ac:dyDescent="0.25"/>
    <row r="243" s="2" customFormat="1" x14ac:dyDescent="0.25"/>
    <row r="244" s="2" customFormat="1" x14ac:dyDescent="0.25"/>
    <row r="245" s="2" customFormat="1" x14ac:dyDescent="0.25"/>
    <row r="246" s="2" customFormat="1" x14ac:dyDescent="0.25"/>
    <row r="247" s="2" customFormat="1" x14ac:dyDescent="0.25"/>
    <row r="248" s="2" customFormat="1" x14ac:dyDescent="0.25"/>
    <row r="249" s="2" customFormat="1" x14ac:dyDescent="0.25"/>
    <row r="250" s="2" customFormat="1" x14ac:dyDescent="0.25"/>
    <row r="251" s="2" customFormat="1" x14ac:dyDescent="0.25"/>
    <row r="252" s="2" customFormat="1" x14ac:dyDescent="0.25"/>
    <row r="253" s="2" customFormat="1" x14ac:dyDescent="0.25"/>
    <row r="254" s="2" customFormat="1" x14ac:dyDescent="0.25"/>
    <row r="255" s="2" customFormat="1" x14ac:dyDescent="0.25"/>
    <row r="256" s="2" customFormat="1" x14ac:dyDescent="0.25"/>
    <row r="257" s="2" customFormat="1" x14ac:dyDescent="0.25"/>
    <row r="258" s="2" customFormat="1" x14ac:dyDescent="0.25"/>
    <row r="259" s="2" customFormat="1" x14ac:dyDescent="0.25"/>
    <row r="260" s="2" customFormat="1" x14ac:dyDescent="0.25"/>
    <row r="261" s="2" customFormat="1" x14ac:dyDescent="0.25"/>
    <row r="262" s="2" customFormat="1" x14ac:dyDescent="0.25"/>
    <row r="263" s="2" customFormat="1" x14ac:dyDescent="0.25"/>
    <row r="264" s="2" customFormat="1" x14ac:dyDescent="0.25"/>
    <row r="265" s="2" customFormat="1" x14ac:dyDescent="0.25"/>
    <row r="266" s="2" customFormat="1" x14ac:dyDescent="0.25"/>
    <row r="267" s="2" customFormat="1" x14ac:dyDescent="0.25"/>
    <row r="268" s="2" customFormat="1" x14ac:dyDescent="0.25"/>
    <row r="269" s="2" customFormat="1" x14ac:dyDescent="0.25"/>
    <row r="270" s="2" customFormat="1" x14ac:dyDescent="0.25"/>
    <row r="271" s="2" customFormat="1" x14ac:dyDescent="0.25"/>
    <row r="272" s="2" customFormat="1" x14ac:dyDescent="0.25"/>
    <row r="273" s="2" customFormat="1" x14ac:dyDescent="0.25"/>
    <row r="274" s="2" customFormat="1" x14ac:dyDescent="0.25"/>
    <row r="275" s="2" customFormat="1" x14ac:dyDescent="0.25"/>
    <row r="276" s="2" customFormat="1" x14ac:dyDescent="0.25"/>
    <row r="277" s="2" customFormat="1" x14ac:dyDescent="0.25"/>
    <row r="278" s="2" customFormat="1" x14ac:dyDescent="0.25"/>
    <row r="279" s="2" customFormat="1" x14ac:dyDescent="0.25"/>
    <row r="280" s="2" customFormat="1" x14ac:dyDescent="0.25"/>
    <row r="281" s="2" customFormat="1" x14ac:dyDescent="0.25"/>
    <row r="282" s="2" customFormat="1" x14ac:dyDescent="0.25"/>
    <row r="283" s="2" customFormat="1" x14ac:dyDescent="0.25"/>
    <row r="284" s="2" customFormat="1" x14ac:dyDescent="0.25"/>
    <row r="285" s="2" customFormat="1" x14ac:dyDescent="0.25"/>
    <row r="286" s="2" customFormat="1" x14ac:dyDescent="0.25"/>
    <row r="287" s="2" customFormat="1" x14ac:dyDescent="0.25"/>
    <row r="288" s="2" customFormat="1" x14ac:dyDescent="0.25"/>
    <row r="289" s="2" customFormat="1" x14ac:dyDescent="0.25"/>
    <row r="290" s="2" customFormat="1" x14ac:dyDescent="0.25"/>
    <row r="291" s="2" customFormat="1" x14ac:dyDescent="0.25"/>
    <row r="292" s="2" customFormat="1" x14ac:dyDescent="0.25"/>
    <row r="293" s="2" customFormat="1" x14ac:dyDescent="0.25"/>
    <row r="294" s="2" customFormat="1" x14ac:dyDescent="0.25"/>
    <row r="295" s="2" customFormat="1" x14ac:dyDescent="0.25"/>
    <row r="296" s="2" customFormat="1" x14ac:dyDescent="0.25"/>
    <row r="297" s="2" customFormat="1" x14ac:dyDescent="0.25"/>
    <row r="298" s="2" customFormat="1" x14ac:dyDescent="0.25"/>
    <row r="299" s="2" customFormat="1" x14ac:dyDescent="0.25"/>
    <row r="300" s="2" customFormat="1" x14ac:dyDescent="0.25"/>
    <row r="301" s="2" customFormat="1" x14ac:dyDescent="0.25"/>
    <row r="302" s="2" customFormat="1" x14ac:dyDescent="0.25"/>
    <row r="303" s="2" customFormat="1" x14ac:dyDescent="0.25"/>
    <row r="304" s="2" customFormat="1" x14ac:dyDescent="0.25"/>
    <row r="305" s="2" customFormat="1" x14ac:dyDescent="0.25"/>
    <row r="306" s="2" customFormat="1" x14ac:dyDescent="0.25"/>
    <row r="307" s="2" customFormat="1" x14ac:dyDescent="0.25"/>
    <row r="308" s="2" customFormat="1" x14ac:dyDescent="0.25"/>
    <row r="309" s="2" customFormat="1" x14ac:dyDescent="0.25"/>
    <row r="310" s="2" customFormat="1" x14ac:dyDescent="0.25"/>
    <row r="311" s="2" customFormat="1" x14ac:dyDescent="0.25"/>
    <row r="312" s="2" customFormat="1" x14ac:dyDescent="0.25"/>
    <row r="313" s="2" customFormat="1" x14ac:dyDescent="0.25"/>
    <row r="314" s="2" customFormat="1" x14ac:dyDescent="0.25"/>
    <row r="315" s="2" customFormat="1" x14ac:dyDescent="0.25"/>
    <row r="316" s="2" customFormat="1" x14ac:dyDescent="0.25"/>
    <row r="317" s="2" customFormat="1" x14ac:dyDescent="0.25"/>
    <row r="318" s="2" customFormat="1" x14ac:dyDescent="0.25"/>
    <row r="319" s="2" customFormat="1" x14ac:dyDescent="0.25"/>
    <row r="320" s="2" customFormat="1" x14ac:dyDescent="0.25"/>
    <row r="321" s="2" customFormat="1" x14ac:dyDescent="0.25"/>
    <row r="322" s="2" customFormat="1" x14ac:dyDescent="0.25"/>
    <row r="323" s="2" customFormat="1" x14ac:dyDescent="0.25"/>
    <row r="324" s="2" customFormat="1" x14ac:dyDescent="0.25"/>
    <row r="325" s="2" customFormat="1" x14ac:dyDescent="0.25"/>
    <row r="326" s="2" customFormat="1" x14ac:dyDescent="0.25"/>
    <row r="327" s="2" customFormat="1" x14ac:dyDescent="0.25"/>
    <row r="328" s="2" customFormat="1" x14ac:dyDescent="0.25"/>
    <row r="329" s="2" customFormat="1" x14ac:dyDescent="0.25"/>
    <row r="330" s="2" customFormat="1" x14ac:dyDescent="0.25"/>
    <row r="331" s="2" customFormat="1" x14ac:dyDescent="0.25"/>
    <row r="332" s="2" customFormat="1" x14ac:dyDescent="0.25"/>
    <row r="333" s="2" customFormat="1" x14ac:dyDescent="0.25"/>
    <row r="334" s="2" customFormat="1" x14ac:dyDescent="0.25"/>
    <row r="335" s="2" customFormat="1" x14ac:dyDescent="0.25"/>
    <row r="336" s="2" customFormat="1" x14ac:dyDescent="0.25"/>
    <row r="337" s="2" customFormat="1" x14ac:dyDescent="0.25"/>
    <row r="338" s="2" customFormat="1" x14ac:dyDescent="0.25"/>
    <row r="339" s="2" customFormat="1" x14ac:dyDescent="0.25"/>
    <row r="340" s="2" customFormat="1" x14ac:dyDescent="0.25"/>
    <row r="341" s="2" customFormat="1" x14ac:dyDescent="0.25"/>
    <row r="342" s="2" customFormat="1" x14ac:dyDescent="0.25"/>
    <row r="343" s="2" customFormat="1" x14ac:dyDescent="0.25"/>
    <row r="344" s="2" customFormat="1" x14ac:dyDescent="0.25"/>
    <row r="345" s="2" customFormat="1" x14ac:dyDescent="0.25"/>
    <row r="346" s="2" customFormat="1" x14ac:dyDescent="0.25"/>
    <row r="347" s="2" customFormat="1" x14ac:dyDescent="0.25"/>
    <row r="348" s="2" customFormat="1" x14ac:dyDescent="0.25"/>
    <row r="349" s="2" customFormat="1" x14ac:dyDescent="0.25"/>
    <row r="350" s="2" customFormat="1" x14ac:dyDescent="0.25"/>
    <row r="351" s="2" customFormat="1" x14ac:dyDescent="0.25"/>
    <row r="352" s="2" customFormat="1" x14ac:dyDescent="0.25"/>
    <row r="353" spans="7:10" s="2" customFormat="1" x14ac:dyDescent="0.25"/>
    <row r="354" spans="7:10" s="2" customFormat="1" x14ac:dyDescent="0.25"/>
    <row r="355" spans="7:10" s="2" customFormat="1" x14ac:dyDescent="0.25"/>
    <row r="356" spans="7:10" s="2" customFormat="1" x14ac:dyDescent="0.25"/>
    <row r="357" spans="7:10" s="2" customFormat="1" x14ac:dyDescent="0.25"/>
    <row r="358" spans="7:10" s="2" customFormat="1" x14ac:dyDescent="0.25"/>
    <row r="359" spans="7:10" s="2" customFormat="1" x14ac:dyDescent="0.25"/>
    <row r="360" spans="7:10" s="2" customFormat="1" x14ac:dyDescent="0.25"/>
    <row r="361" spans="7:10" s="2" customFormat="1" x14ac:dyDescent="0.25"/>
    <row r="362" spans="7:10" s="2" customFormat="1" x14ac:dyDescent="0.25"/>
    <row r="363" spans="7:10" s="2" customFormat="1" x14ac:dyDescent="0.25"/>
    <row r="364" spans="7:10" s="2" customFormat="1" x14ac:dyDescent="0.25">
      <c r="G364" s="1"/>
      <c r="H364" s="1"/>
      <c r="I364" s="1"/>
      <c r="J364" s="1"/>
    </row>
    <row r="365" spans="7:10" s="2" customFormat="1" x14ac:dyDescent="0.25">
      <c r="G365" s="1"/>
      <c r="H365" s="1"/>
      <c r="I365" s="1"/>
      <c r="J365" s="1"/>
    </row>
    <row r="366" spans="7:10" s="2" customFormat="1" x14ac:dyDescent="0.25">
      <c r="G366" s="1"/>
      <c r="H366" s="1"/>
      <c r="I366" s="1"/>
      <c r="J366" s="1"/>
    </row>
    <row r="367" spans="7:10" s="2" customFormat="1" x14ac:dyDescent="0.25">
      <c r="G367" s="1"/>
      <c r="H367" s="1"/>
      <c r="I367" s="1"/>
      <c r="J367" s="1"/>
    </row>
    <row r="368" spans="7:10" s="2" customFormat="1" x14ac:dyDescent="0.25">
      <c r="G368" s="1"/>
      <c r="H368" s="1"/>
      <c r="I368" s="1"/>
      <c r="J368" s="1"/>
    </row>
    <row r="369" spans="7:10" s="2" customFormat="1" x14ac:dyDescent="0.25">
      <c r="G369" s="1"/>
      <c r="H369" s="1"/>
      <c r="I369" s="1"/>
      <c r="J369" s="1"/>
    </row>
    <row r="370" spans="7:10" s="2" customFormat="1" x14ac:dyDescent="0.25">
      <c r="G370" s="1"/>
      <c r="H370" s="1"/>
      <c r="I370" s="1"/>
      <c r="J370" s="1"/>
    </row>
    <row r="371" spans="7:10" s="2" customFormat="1" x14ac:dyDescent="0.25">
      <c r="G371" s="1"/>
      <c r="H371" s="1"/>
      <c r="I371" s="1"/>
      <c r="J371" s="1"/>
    </row>
  </sheetData>
  <sheetProtection selectLockedCells="1"/>
  <mergeCells count="8">
    <mergeCell ref="Q2:T3"/>
    <mergeCell ref="Q20:T21"/>
    <mergeCell ref="B20:E21"/>
    <mergeCell ref="L20:O21"/>
    <mergeCell ref="G20:J21"/>
    <mergeCell ref="G2:J3"/>
    <mergeCell ref="B2:E3"/>
    <mergeCell ref="L2:O3"/>
  </mergeCells>
  <conditionalFormatting sqref="B6:E17">
    <cfRule type="expression" dxfId="9" priority="19">
      <formula>$D6&gt;0</formula>
    </cfRule>
  </conditionalFormatting>
  <conditionalFormatting sqref="B24:E35">
    <cfRule type="expression" dxfId="8" priority="4">
      <formula>$D24&gt;0</formula>
    </cfRule>
  </conditionalFormatting>
  <conditionalFormatting sqref="G6:J17">
    <cfRule type="expression" dxfId="7" priority="20">
      <formula>$I6&gt;0</formula>
    </cfRule>
  </conditionalFormatting>
  <conditionalFormatting sqref="G24:J35">
    <cfRule type="expression" dxfId="6" priority="3">
      <formula>$I24&gt;0</formula>
    </cfRule>
  </conditionalFormatting>
  <conditionalFormatting sqref="L6:O17">
    <cfRule type="expression" dxfId="5" priority="21">
      <formula>$N6&gt;0</formula>
    </cfRule>
  </conditionalFormatting>
  <conditionalFormatting sqref="L24:O35">
    <cfRule type="expression" dxfId="4" priority="2">
      <formula>$N24&gt;0</formula>
    </cfRule>
  </conditionalFormatting>
  <conditionalFormatting sqref="Q6:T17">
    <cfRule type="expression" dxfId="3" priority="5">
      <formula>$S6&gt;0</formula>
    </cfRule>
  </conditionalFormatting>
  <conditionalFormatting sqref="Q24:T35">
    <cfRule type="expression" dxfId="2" priority="1">
      <formula>$S24&gt;0</formula>
    </cfRule>
  </conditionalFormatting>
  <pageMargins left="0.51181102362204722" right="0.51181102362204722" top="0.78740157480314965" bottom="0.78740157480314965" header="0.31496062992125984" footer="0.31496062992125984"/>
  <pageSetup paperSize="9" scale="55" orientation="landscape" r:id="rId1"/>
  <ignoredErrors>
    <ignoredError sqref="S17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95"/>
  <sheetViews>
    <sheetView tabSelected="1" zoomScale="85" zoomScaleNormal="85" workbookViewId="0">
      <pane ySplit="1" topLeftCell="A2" activePane="bottomLeft" state="frozen"/>
      <selection pane="bottomLeft" activeCell="I13" sqref="I13"/>
    </sheetView>
  </sheetViews>
  <sheetFormatPr defaultColWidth="9.140625" defaultRowHeight="15" x14ac:dyDescent="0.25"/>
  <cols>
    <col min="1" max="1" width="10.7109375" style="15" bestFit="1" customWidth="1"/>
    <col min="2" max="2" width="11.7109375" style="15" bestFit="1" customWidth="1"/>
    <col min="3" max="3" width="17" style="15" bestFit="1" customWidth="1"/>
    <col min="4" max="4" width="10.42578125" style="15" bestFit="1" customWidth="1"/>
    <col min="5" max="5" width="15.5703125" style="15" bestFit="1" customWidth="1"/>
    <col min="6" max="6" width="58" bestFit="1" customWidth="1"/>
    <col min="7" max="7" width="68.7109375" bestFit="1" customWidth="1"/>
    <col min="8" max="8" width="26" style="15" bestFit="1" customWidth="1"/>
    <col min="9" max="9" width="10.5703125" style="15" bestFit="1" customWidth="1"/>
    <col min="10" max="10" width="11.5703125" style="15" bestFit="1" customWidth="1"/>
    <col min="11" max="11" width="14.7109375" style="15" customWidth="1"/>
    <col min="12" max="13" width="11.42578125" style="32" hidden="1" customWidth="1"/>
    <col min="14" max="14" width="10.5703125" style="32" hidden="1" customWidth="1"/>
    <col min="15" max="15" width="12.7109375" style="32" hidden="1" customWidth="1"/>
    <col min="16" max="16" width="8.7109375" customWidth="1"/>
  </cols>
  <sheetData>
    <row r="1" spans="1:16" ht="16.5" thickBot="1" x14ac:dyDescent="0.3">
      <c r="A1" s="16" t="s">
        <v>0</v>
      </c>
      <c r="B1" s="9" t="s">
        <v>1</v>
      </c>
      <c r="C1" s="9" t="s">
        <v>2</v>
      </c>
      <c r="D1" s="9" t="s">
        <v>19</v>
      </c>
      <c r="E1" s="11" t="s">
        <v>20</v>
      </c>
      <c r="F1" s="7" t="s">
        <v>3</v>
      </c>
      <c r="G1" s="7" t="s">
        <v>21</v>
      </c>
      <c r="H1" s="9" t="s">
        <v>4</v>
      </c>
      <c r="I1" s="9" t="s">
        <v>5</v>
      </c>
      <c r="J1" s="9" t="s">
        <v>6</v>
      </c>
      <c r="K1" s="14" t="s">
        <v>15</v>
      </c>
      <c r="O1" s="33" t="s">
        <v>10</v>
      </c>
      <c r="P1" s="3" t="s">
        <v>11</v>
      </c>
    </row>
    <row r="2" spans="1:16" x14ac:dyDescent="0.25">
      <c r="A2" s="5"/>
      <c r="B2" s="5"/>
      <c r="C2" s="5"/>
      <c r="D2" s="5"/>
      <c r="E2" s="12"/>
      <c r="F2" s="6"/>
      <c r="G2" s="6"/>
      <c r="I2" s="5"/>
      <c r="J2" s="5"/>
      <c r="K2" s="5"/>
      <c r="N2" s="32" t="str">
        <f>SUBSTITUTE(UPPER(J2),"MM","")</f>
        <v/>
      </c>
      <c r="O2" s="34" t="e">
        <f t="shared" ref="O2:O65" si="0">N2+15</f>
        <v>#VALUE!</v>
      </c>
      <c r="P2" s="4" t="e">
        <f t="shared" ref="P2:P33" si="1">O2*B2</f>
        <v>#VALUE!</v>
      </c>
    </row>
    <row r="3" spans="1:16" x14ac:dyDescent="0.25">
      <c r="A3" s="5"/>
      <c r="B3" s="5"/>
      <c r="C3" s="5"/>
      <c r="D3" s="5"/>
      <c r="E3" s="12"/>
      <c r="F3" s="6"/>
      <c r="G3" s="6"/>
      <c r="H3" s="5"/>
      <c r="I3" s="5"/>
      <c r="J3" s="5"/>
      <c r="K3" s="5"/>
      <c r="N3" s="32" t="str">
        <f t="shared" ref="N3:N66" si="2">SUBSTITUTE(UPPER(J3),"MM","")</f>
        <v/>
      </c>
      <c r="O3" s="34" t="e">
        <f t="shared" si="0"/>
        <v>#VALUE!</v>
      </c>
      <c r="P3" s="4" t="e">
        <f t="shared" si="1"/>
        <v>#VALUE!</v>
      </c>
    </row>
    <row r="4" spans="1:16" x14ac:dyDescent="0.25">
      <c r="A4" s="5"/>
      <c r="B4" s="5"/>
      <c r="C4" s="5"/>
      <c r="D4" s="5"/>
      <c r="E4" s="12"/>
      <c r="F4" s="6"/>
      <c r="G4" s="6"/>
      <c r="H4" s="5"/>
      <c r="I4" s="5"/>
      <c r="J4" s="5"/>
      <c r="K4" s="5"/>
      <c r="N4" s="32" t="str">
        <f t="shared" si="2"/>
        <v/>
      </c>
      <c r="O4" s="34" t="e">
        <f t="shared" si="0"/>
        <v>#VALUE!</v>
      </c>
      <c r="P4" s="4" t="e">
        <f t="shared" si="1"/>
        <v>#VALUE!</v>
      </c>
    </row>
    <row r="5" spans="1:16" x14ac:dyDescent="0.25">
      <c r="A5" s="5"/>
      <c r="B5" s="5"/>
      <c r="C5" s="5"/>
      <c r="D5" s="5"/>
      <c r="E5" s="12"/>
      <c r="F5" s="6"/>
      <c r="G5" s="6"/>
      <c r="H5" s="5"/>
      <c r="I5" s="5"/>
      <c r="J5" s="5"/>
      <c r="K5" s="5"/>
      <c r="N5" s="32" t="str">
        <f t="shared" si="2"/>
        <v/>
      </c>
      <c r="O5" s="34" t="e">
        <f t="shared" si="0"/>
        <v>#VALUE!</v>
      </c>
      <c r="P5" s="4" t="e">
        <f t="shared" si="1"/>
        <v>#VALUE!</v>
      </c>
    </row>
    <row r="6" spans="1:16" x14ac:dyDescent="0.25">
      <c r="A6" s="5"/>
      <c r="B6" s="5"/>
      <c r="C6" s="5"/>
      <c r="D6" s="5"/>
      <c r="E6" s="12"/>
      <c r="F6" s="6"/>
      <c r="G6" s="6"/>
      <c r="I6" s="5"/>
      <c r="J6" s="5"/>
      <c r="K6" s="5"/>
      <c r="N6" s="32" t="str">
        <f t="shared" si="2"/>
        <v/>
      </c>
      <c r="O6" s="34" t="e">
        <f t="shared" si="0"/>
        <v>#VALUE!</v>
      </c>
      <c r="P6" s="4" t="e">
        <f t="shared" si="1"/>
        <v>#VALUE!</v>
      </c>
    </row>
    <row r="7" spans="1:16" x14ac:dyDescent="0.25">
      <c r="A7" s="5"/>
      <c r="B7" s="5"/>
      <c r="C7" s="5"/>
      <c r="D7" s="5"/>
      <c r="E7" s="12"/>
      <c r="F7" s="6"/>
      <c r="G7" s="6"/>
      <c r="H7" s="5"/>
      <c r="I7" s="5"/>
      <c r="J7" s="5"/>
      <c r="K7" s="5"/>
      <c r="N7" s="32" t="str">
        <f t="shared" si="2"/>
        <v/>
      </c>
      <c r="O7" s="34" t="e">
        <f t="shared" si="0"/>
        <v>#VALUE!</v>
      </c>
      <c r="P7" s="4" t="e">
        <f t="shared" si="1"/>
        <v>#VALUE!</v>
      </c>
    </row>
    <row r="8" spans="1:16" x14ac:dyDescent="0.25">
      <c r="A8" s="5"/>
      <c r="B8" s="5"/>
      <c r="C8" s="5"/>
      <c r="D8" s="5"/>
      <c r="E8" s="12"/>
      <c r="F8" s="6"/>
      <c r="G8" s="6"/>
      <c r="H8" s="5"/>
      <c r="I8" s="5"/>
      <c r="J8" s="5"/>
      <c r="K8" s="5"/>
      <c r="N8" s="32" t="str">
        <f t="shared" si="2"/>
        <v/>
      </c>
      <c r="O8" s="34" t="e">
        <f t="shared" si="0"/>
        <v>#VALUE!</v>
      </c>
      <c r="P8" s="4" t="e">
        <f t="shared" si="1"/>
        <v>#VALUE!</v>
      </c>
    </row>
    <row r="9" spans="1:16" x14ac:dyDescent="0.25">
      <c r="A9" s="5"/>
      <c r="B9" s="5"/>
      <c r="C9" s="5"/>
      <c r="D9" s="5"/>
      <c r="E9" s="12"/>
      <c r="F9" s="6"/>
      <c r="G9" s="6"/>
      <c r="H9" s="5"/>
      <c r="I9" s="5"/>
      <c r="J9" s="5"/>
      <c r="K9" s="5"/>
      <c r="N9" s="32" t="str">
        <f t="shared" si="2"/>
        <v/>
      </c>
      <c r="O9" s="34" t="e">
        <f t="shared" si="0"/>
        <v>#VALUE!</v>
      </c>
      <c r="P9" s="4" t="e">
        <f t="shared" si="1"/>
        <v>#VALUE!</v>
      </c>
    </row>
    <row r="10" spans="1:16" x14ac:dyDescent="0.25">
      <c r="A10" s="5"/>
      <c r="B10" s="5"/>
      <c r="C10" s="5"/>
      <c r="D10" s="5"/>
      <c r="E10" s="12"/>
      <c r="F10" s="6"/>
      <c r="G10" s="6"/>
      <c r="H10" s="5"/>
      <c r="I10" s="5"/>
      <c r="J10" s="5"/>
      <c r="K10" s="5"/>
      <c r="L10" s="35"/>
      <c r="M10" s="35"/>
      <c r="N10" s="32" t="str">
        <f t="shared" si="2"/>
        <v/>
      </c>
      <c r="O10" s="34" t="e">
        <f t="shared" si="0"/>
        <v>#VALUE!</v>
      </c>
      <c r="P10" s="4" t="e">
        <f t="shared" si="1"/>
        <v>#VALUE!</v>
      </c>
    </row>
    <row r="11" spans="1:16" x14ac:dyDescent="0.25">
      <c r="A11" s="5"/>
      <c r="B11" s="5"/>
      <c r="C11" s="5"/>
      <c r="D11" s="5"/>
      <c r="E11" s="12"/>
      <c r="F11" s="6"/>
      <c r="G11" s="6"/>
      <c r="H11" s="5"/>
      <c r="I11" s="5"/>
      <c r="J11" s="5"/>
      <c r="K11" s="5"/>
      <c r="N11" s="32" t="str">
        <f t="shared" si="2"/>
        <v/>
      </c>
      <c r="O11" s="34" t="e">
        <f t="shared" si="0"/>
        <v>#VALUE!</v>
      </c>
      <c r="P11" s="4" t="e">
        <f t="shared" si="1"/>
        <v>#VALUE!</v>
      </c>
    </row>
    <row r="12" spans="1:16" x14ac:dyDescent="0.25">
      <c r="A12" s="5"/>
      <c r="B12" s="5"/>
      <c r="C12" s="5"/>
      <c r="D12" s="5"/>
      <c r="E12" s="12"/>
      <c r="F12" s="6"/>
      <c r="G12" s="6"/>
      <c r="H12" s="5"/>
      <c r="I12" s="5"/>
      <c r="J12" s="5"/>
      <c r="K12" s="5"/>
      <c r="N12" s="32" t="str">
        <f t="shared" si="2"/>
        <v/>
      </c>
      <c r="O12" s="34" t="e">
        <f t="shared" si="0"/>
        <v>#VALUE!</v>
      </c>
      <c r="P12" s="4" t="e">
        <f t="shared" si="1"/>
        <v>#VALUE!</v>
      </c>
    </row>
    <row r="13" spans="1:16" x14ac:dyDescent="0.25">
      <c r="A13" s="5"/>
      <c r="B13" s="5"/>
      <c r="C13" s="5"/>
      <c r="D13" s="5"/>
      <c r="E13" s="12"/>
      <c r="F13" s="6"/>
      <c r="G13" s="6"/>
      <c r="H13" s="5"/>
      <c r="I13" s="5"/>
      <c r="J13" s="5"/>
      <c r="K13" s="5"/>
      <c r="N13" s="32" t="str">
        <f t="shared" si="2"/>
        <v/>
      </c>
      <c r="O13" s="34" t="e">
        <f t="shared" si="0"/>
        <v>#VALUE!</v>
      </c>
      <c r="P13" s="4" t="e">
        <f t="shared" si="1"/>
        <v>#VALUE!</v>
      </c>
    </row>
    <row r="14" spans="1:16" x14ac:dyDescent="0.25">
      <c r="A14" s="5"/>
      <c r="B14" s="5"/>
      <c r="C14" s="5"/>
      <c r="D14" s="5"/>
      <c r="E14" s="12"/>
      <c r="F14" s="6"/>
      <c r="G14" s="6"/>
      <c r="H14" s="5"/>
      <c r="I14" s="5"/>
      <c r="J14" s="5"/>
      <c r="K14" s="5"/>
      <c r="N14" s="32" t="str">
        <f t="shared" si="2"/>
        <v/>
      </c>
      <c r="O14" s="34" t="e">
        <f t="shared" si="0"/>
        <v>#VALUE!</v>
      </c>
      <c r="P14" s="4" t="e">
        <f t="shared" si="1"/>
        <v>#VALUE!</v>
      </c>
    </row>
    <row r="15" spans="1:16" x14ac:dyDescent="0.25">
      <c r="A15" s="5"/>
      <c r="B15" s="5"/>
      <c r="C15" s="5"/>
      <c r="D15" s="5"/>
      <c r="E15" s="12"/>
      <c r="F15" s="6"/>
      <c r="G15" s="6"/>
      <c r="H15" s="5"/>
      <c r="I15" s="5"/>
      <c r="J15" s="5"/>
      <c r="K15" s="5"/>
      <c r="N15" s="32" t="str">
        <f t="shared" si="2"/>
        <v/>
      </c>
      <c r="O15" s="34" t="e">
        <f t="shared" si="0"/>
        <v>#VALUE!</v>
      </c>
      <c r="P15" s="4" t="e">
        <f t="shared" si="1"/>
        <v>#VALUE!</v>
      </c>
    </row>
    <row r="16" spans="1:16" x14ac:dyDescent="0.25">
      <c r="A16" s="5"/>
      <c r="B16" s="5"/>
      <c r="C16" s="5"/>
      <c r="D16" s="5"/>
      <c r="E16" s="12"/>
      <c r="F16" s="6"/>
      <c r="G16" s="6"/>
      <c r="H16" s="5"/>
      <c r="I16" s="5"/>
      <c r="J16" s="5"/>
      <c r="K16" s="5"/>
      <c r="N16" s="32" t="str">
        <f t="shared" si="2"/>
        <v/>
      </c>
      <c r="O16" s="34" t="e">
        <f t="shared" si="0"/>
        <v>#VALUE!</v>
      </c>
      <c r="P16" s="4" t="e">
        <f t="shared" si="1"/>
        <v>#VALUE!</v>
      </c>
    </row>
    <row r="17" spans="1:16" x14ac:dyDescent="0.25">
      <c r="A17" s="5"/>
      <c r="B17" s="5"/>
      <c r="C17" s="5"/>
      <c r="D17" s="5"/>
      <c r="E17" s="12"/>
      <c r="F17" s="6"/>
      <c r="G17" s="6"/>
      <c r="H17" s="5"/>
      <c r="I17" s="5"/>
      <c r="J17" s="5"/>
      <c r="K17" s="5"/>
      <c r="N17" s="32" t="str">
        <f t="shared" si="2"/>
        <v/>
      </c>
      <c r="O17" s="34" t="e">
        <f t="shared" si="0"/>
        <v>#VALUE!</v>
      </c>
      <c r="P17" s="4" t="e">
        <f t="shared" si="1"/>
        <v>#VALUE!</v>
      </c>
    </row>
    <row r="18" spans="1:16" x14ac:dyDescent="0.25">
      <c r="A18" s="5"/>
      <c r="B18" s="5"/>
      <c r="C18" s="5"/>
      <c r="D18" s="5"/>
      <c r="E18" s="12"/>
      <c r="F18" s="6"/>
      <c r="G18" s="6"/>
      <c r="H18" s="5"/>
      <c r="I18" s="5"/>
      <c r="J18" s="5"/>
      <c r="K18" s="5"/>
      <c r="N18" s="32" t="str">
        <f t="shared" si="2"/>
        <v/>
      </c>
      <c r="O18" s="34" t="e">
        <f t="shared" si="0"/>
        <v>#VALUE!</v>
      </c>
      <c r="P18" s="4" t="e">
        <f t="shared" si="1"/>
        <v>#VALUE!</v>
      </c>
    </row>
    <row r="19" spans="1:16" x14ac:dyDescent="0.25">
      <c r="A19" s="5"/>
      <c r="B19" s="5"/>
      <c r="C19" s="5"/>
      <c r="D19" s="5"/>
      <c r="E19" s="12"/>
      <c r="F19" s="6"/>
      <c r="G19" s="6"/>
      <c r="H19" s="5"/>
      <c r="I19" s="5"/>
      <c r="J19" s="5"/>
      <c r="K19" s="5"/>
      <c r="N19" s="32" t="str">
        <f t="shared" si="2"/>
        <v/>
      </c>
      <c r="O19" s="34" t="e">
        <f t="shared" si="0"/>
        <v>#VALUE!</v>
      </c>
      <c r="P19" s="4" t="e">
        <f t="shared" si="1"/>
        <v>#VALUE!</v>
      </c>
    </row>
    <row r="20" spans="1:16" x14ac:dyDescent="0.25">
      <c r="A20" s="5"/>
      <c r="B20" s="5"/>
      <c r="C20" s="5"/>
      <c r="D20" s="5"/>
      <c r="E20" s="12"/>
      <c r="F20" s="6"/>
      <c r="G20" s="6"/>
      <c r="H20" s="5"/>
      <c r="I20" s="5"/>
      <c r="J20" s="5"/>
      <c r="K20" s="5"/>
      <c r="N20" s="32" t="str">
        <f t="shared" si="2"/>
        <v/>
      </c>
      <c r="O20" s="34" t="e">
        <f t="shared" si="0"/>
        <v>#VALUE!</v>
      </c>
      <c r="P20" s="4" t="e">
        <f t="shared" si="1"/>
        <v>#VALUE!</v>
      </c>
    </row>
    <row r="21" spans="1:16" x14ac:dyDescent="0.25">
      <c r="A21" s="5"/>
      <c r="B21" s="5"/>
      <c r="C21" s="5"/>
      <c r="D21" s="5"/>
      <c r="E21" s="12"/>
      <c r="F21" s="6"/>
      <c r="G21" s="6"/>
      <c r="H21" s="5"/>
      <c r="I21" s="5"/>
      <c r="J21" s="5"/>
      <c r="K21" s="5"/>
      <c r="N21" s="32" t="str">
        <f t="shared" si="2"/>
        <v/>
      </c>
      <c r="O21" s="34" t="e">
        <f t="shared" si="0"/>
        <v>#VALUE!</v>
      </c>
      <c r="P21" s="4" t="e">
        <f t="shared" si="1"/>
        <v>#VALUE!</v>
      </c>
    </row>
    <row r="22" spans="1:16" x14ac:dyDescent="0.25">
      <c r="A22" s="5"/>
      <c r="B22" s="5"/>
      <c r="C22" s="5"/>
      <c r="D22" s="5"/>
      <c r="E22" s="12"/>
      <c r="F22" s="6"/>
      <c r="G22" s="6"/>
      <c r="H22" s="5"/>
      <c r="I22" s="5"/>
      <c r="J22" s="5"/>
      <c r="K22" s="5"/>
      <c r="N22" s="32" t="str">
        <f t="shared" si="2"/>
        <v/>
      </c>
      <c r="O22" s="34" t="e">
        <f t="shared" si="0"/>
        <v>#VALUE!</v>
      </c>
      <c r="P22" s="4" t="e">
        <f t="shared" si="1"/>
        <v>#VALUE!</v>
      </c>
    </row>
    <row r="23" spans="1:16" x14ac:dyDescent="0.25">
      <c r="A23" s="5"/>
      <c r="B23" s="5"/>
      <c r="C23" s="5"/>
      <c r="D23" s="5"/>
      <c r="E23" s="12"/>
      <c r="F23" s="6"/>
      <c r="G23" s="6"/>
      <c r="H23" s="5"/>
      <c r="I23" s="5"/>
      <c r="J23" s="5"/>
      <c r="K23" s="5"/>
      <c r="N23" s="32" t="str">
        <f t="shared" si="2"/>
        <v/>
      </c>
      <c r="O23" s="34" t="e">
        <f t="shared" si="0"/>
        <v>#VALUE!</v>
      </c>
      <c r="P23" s="4" t="e">
        <f t="shared" si="1"/>
        <v>#VALUE!</v>
      </c>
    </row>
    <row r="24" spans="1:16" x14ac:dyDescent="0.25">
      <c r="A24" s="5"/>
      <c r="B24" s="5"/>
      <c r="C24" s="5"/>
      <c r="D24" s="5"/>
      <c r="E24" s="12"/>
      <c r="F24" s="6"/>
      <c r="G24" s="6"/>
      <c r="H24" s="5"/>
      <c r="I24" s="5"/>
      <c r="J24" s="5"/>
      <c r="K24" s="5"/>
      <c r="N24" s="32" t="str">
        <f t="shared" si="2"/>
        <v/>
      </c>
      <c r="O24" s="34" t="e">
        <f t="shared" si="0"/>
        <v>#VALUE!</v>
      </c>
      <c r="P24" s="4" t="e">
        <f t="shared" si="1"/>
        <v>#VALUE!</v>
      </c>
    </row>
    <row r="25" spans="1:16" x14ac:dyDescent="0.25">
      <c r="A25" s="5"/>
      <c r="B25" s="5"/>
      <c r="C25" s="5"/>
      <c r="D25" s="5"/>
      <c r="E25" s="12"/>
      <c r="F25" s="6"/>
      <c r="G25" s="6"/>
      <c r="H25" s="5"/>
      <c r="I25" s="5"/>
      <c r="J25" s="5"/>
      <c r="K25" s="5"/>
      <c r="N25" s="32" t="str">
        <f t="shared" si="2"/>
        <v/>
      </c>
      <c r="O25" s="34" t="e">
        <f t="shared" si="0"/>
        <v>#VALUE!</v>
      </c>
      <c r="P25" s="4" t="e">
        <f t="shared" si="1"/>
        <v>#VALUE!</v>
      </c>
    </row>
    <row r="26" spans="1:16" x14ac:dyDescent="0.25">
      <c r="A26" s="5"/>
      <c r="B26" s="5"/>
      <c r="C26" s="5"/>
      <c r="D26" s="5"/>
      <c r="E26" s="12"/>
      <c r="F26" s="6"/>
      <c r="G26" s="6"/>
      <c r="H26" s="5"/>
      <c r="I26" s="5"/>
      <c r="J26" s="5"/>
      <c r="K26" s="5"/>
      <c r="N26" s="32" t="str">
        <f t="shared" si="2"/>
        <v/>
      </c>
      <c r="O26" s="34" t="e">
        <f t="shared" si="0"/>
        <v>#VALUE!</v>
      </c>
      <c r="P26" s="4" t="e">
        <f t="shared" si="1"/>
        <v>#VALUE!</v>
      </c>
    </row>
    <row r="27" spans="1:16" x14ac:dyDescent="0.25">
      <c r="A27" s="5"/>
      <c r="B27" s="5"/>
      <c r="C27" s="5"/>
      <c r="D27" s="5"/>
      <c r="E27" s="12"/>
      <c r="F27" s="6"/>
      <c r="G27" s="6"/>
      <c r="H27" s="5"/>
      <c r="I27" s="5"/>
      <c r="J27" s="5"/>
      <c r="K27" s="5"/>
      <c r="N27" s="32" t="str">
        <f t="shared" si="2"/>
        <v/>
      </c>
      <c r="O27" s="34" t="e">
        <f t="shared" si="0"/>
        <v>#VALUE!</v>
      </c>
      <c r="P27" s="4" t="e">
        <f t="shared" si="1"/>
        <v>#VALUE!</v>
      </c>
    </row>
    <row r="28" spans="1:16" x14ac:dyDescent="0.25">
      <c r="A28" s="5"/>
      <c r="B28" s="5"/>
      <c r="C28" s="5"/>
      <c r="D28" s="5"/>
      <c r="E28" s="12"/>
      <c r="F28" s="6"/>
      <c r="G28" s="6"/>
      <c r="H28" s="5"/>
      <c r="I28" s="5"/>
      <c r="J28" s="5"/>
      <c r="K28" s="5"/>
      <c r="N28" s="32" t="str">
        <f t="shared" si="2"/>
        <v/>
      </c>
      <c r="O28" s="34" t="e">
        <f t="shared" si="0"/>
        <v>#VALUE!</v>
      </c>
      <c r="P28" s="4" t="e">
        <f t="shared" si="1"/>
        <v>#VALUE!</v>
      </c>
    </row>
    <row r="29" spans="1:16" x14ac:dyDescent="0.25">
      <c r="A29" s="5"/>
      <c r="B29" s="5"/>
      <c r="C29" s="5"/>
      <c r="D29" s="5"/>
      <c r="E29" s="12"/>
      <c r="F29" s="6"/>
      <c r="G29" s="6"/>
      <c r="H29" s="5"/>
      <c r="I29" s="5"/>
      <c r="J29" s="5"/>
      <c r="K29" s="5"/>
      <c r="N29" s="32" t="str">
        <f t="shared" si="2"/>
        <v/>
      </c>
      <c r="O29" s="34" t="e">
        <f t="shared" si="0"/>
        <v>#VALUE!</v>
      </c>
      <c r="P29" s="4" t="e">
        <f t="shared" si="1"/>
        <v>#VALUE!</v>
      </c>
    </row>
    <row r="30" spans="1:16" x14ac:dyDescent="0.25">
      <c r="A30" s="5"/>
      <c r="B30" s="5"/>
      <c r="C30" s="5"/>
      <c r="D30" s="5"/>
      <c r="E30" s="12"/>
      <c r="F30" s="6"/>
      <c r="G30" s="6"/>
      <c r="H30" s="5"/>
      <c r="I30" s="5"/>
      <c r="J30" s="5"/>
      <c r="K30" s="5"/>
      <c r="N30" s="32" t="str">
        <f t="shared" si="2"/>
        <v/>
      </c>
      <c r="O30" s="34" t="e">
        <f t="shared" si="0"/>
        <v>#VALUE!</v>
      </c>
      <c r="P30" s="4" t="e">
        <f t="shared" si="1"/>
        <v>#VALUE!</v>
      </c>
    </row>
    <row r="31" spans="1:16" x14ac:dyDescent="0.25">
      <c r="A31" s="5"/>
      <c r="B31" s="5"/>
      <c r="C31" s="5"/>
      <c r="D31" s="5"/>
      <c r="E31" s="12"/>
      <c r="F31" s="6"/>
      <c r="G31" s="6"/>
      <c r="H31" s="5"/>
      <c r="I31" s="5"/>
      <c r="J31" s="5"/>
      <c r="K31" s="5"/>
      <c r="N31" s="32" t="str">
        <f t="shared" si="2"/>
        <v/>
      </c>
      <c r="O31" s="34" t="e">
        <f t="shared" si="0"/>
        <v>#VALUE!</v>
      </c>
      <c r="P31" s="4" t="e">
        <f t="shared" si="1"/>
        <v>#VALUE!</v>
      </c>
    </row>
    <row r="32" spans="1:16" x14ac:dyDescent="0.25">
      <c r="A32" s="5"/>
      <c r="B32" s="5"/>
      <c r="C32" s="5"/>
      <c r="D32" s="5"/>
      <c r="E32" s="12"/>
      <c r="F32" s="6"/>
      <c r="G32" s="6"/>
      <c r="H32" s="5"/>
      <c r="I32" s="5"/>
      <c r="J32" s="5"/>
      <c r="K32" s="5"/>
      <c r="N32" s="32" t="str">
        <f t="shared" si="2"/>
        <v/>
      </c>
      <c r="O32" s="34" t="e">
        <f t="shared" si="0"/>
        <v>#VALUE!</v>
      </c>
      <c r="P32" s="4" t="e">
        <f t="shared" si="1"/>
        <v>#VALUE!</v>
      </c>
    </row>
    <row r="33" spans="1:16" x14ac:dyDescent="0.25">
      <c r="A33" s="5"/>
      <c r="B33" s="5"/>
      <c r="C33" s="5"/>
      <c r="D33" s="5"/>
      <c r="E33" s="12"/>
      <c r="F33" s="6"/>
      <c r="G33" s="6"/>
      <c r="H33" s="5"/>
      <c r="I33" s="5"/>
      <c r="J33" s="5"/>
      <c r="K33" s="5"/>
      <c r="N33" s="32" t="str">
        <f t="shared" si="2"/>
        <v/>
      </c>
      <c r="O33" s="34" t="e">
        <f t="shared" si="0"/>
        <v>#VALUE!</v>
      </c>
      <c r="P33" s="4" t="e">
        <f t="shared" si="1"/>
        <v>#VALUE!</v>
      </c>
    </row>
    <row r="34" spans="1:16" x14ac:dyDescent="0.25">
      <c r="A34" s="5"/>
      <c r="B34" s="5"/>
      <c r="C34" s="5"/>
      <c r="D34" s="5"/>
      <c r="E34" s="12"/>
      <c r="F34" s="6"/>
      <c r="G34" s="6"/>
      <c r="H34" s="5"/>
      <c r="I34" s="5"/>
      <c r="J34" s="5"/>
      <c r="K34" s="5"/>
      <c r="N34" s="32" t="str">
        <f t="shared" si="2"/>
        <v/>
      </c>
      <c r="O34" s="34" t="e">
        <f t="shared" si="0"/>
        <v>#VALUE!</v>
      </c>
      <c r="P34" s="4" t="e">
        <f t="shared" ref="P34:P85" si="3">O34*B34</f>
        <v>#VALUE!</v>
      </c>
    </row>
    <row r="35" spans="1:16" x14ac:dyDescent="0.25">
      <c r="A35" s="5"/>
      <c r="B35" s="5"/>
      <c r="C35" s="5"/>
      <c r="D35" s="5"/>
      <c r="E35" s="12"/>
      <c r="F35" s="6"/>
      <c r="G35" s="6"/>
      <c r="H35" s="5"/>
      <c r="I35" s="5"/>
      <c r="J35" s="5"/>
      <c r="K35" s="5"/>
      <c r="N35" s="32" t="str">
        <f t="shared" si="2"/>
        <v/>
      </c>
      <c r="O35" s="34" t="e">
        <f t="shared" si="0"/>
        <v>#VALUE!</v>
      </c>
      <c r="P35" s="4" t="e">
        <f t="shared" si="3"/>
        <v>#VALUE!</v>
      </c>
    </row>
    <row r="36" spans="1:16" x14ac:dyDescent="0.25">
      <c r="A36" s="5"/>
      <c r="B36" s="5"/>
      <c r="C36" s="5"/>
      <c r="D36" s="5"/>
      <c r="E36" s="12"/>
      <c r="F36" s="6"/>
      <c r="G36" s="6"/>
      <c r="H36" s="5"/>
      <c r="I36" s="5"/>
      <c r="J36" s="5"/>
      <c r="K36" s="5"/>
      <c r="N36" s="32" t="str">
        <f t="shared" si="2"/>
        <v/>
      </c>
      <c r="O36" s="34" t="e">
        <f t="shared" si="0"/>
        <v>#VALUE!</v>
      </c>
      <c r="P36" s="4" t="e">
        <f t="shared" si="3"/>
        <v>#VALUE!</v>
      </c>
    </row>
    <row r="37" spans="1:16" x14ac:dyDescent="0.25">
      <c r="A37" s="5"/>
      <c r="B37" s="5"/>
      <c r="C37" s="5"/>
      <c r="D37" s="5"/>
      <c r="E37" s="12"/>
      <c r="F37" s="6"/>
      <c r="G37" s="6"/>
      <c r="H37" s="5"/>
      <c r="I37" s="5"/>
      <c r="J37" s="5"/>
      <c r="K37" s="5"/>
      <c r="N37" s="32" t="str">
        <f t="shared" si="2"/>
        <v/>
      </c>
      <c r="O37" s="34" t="e">
        <f t="shared" si="0"/>
        <v>#VALUE!</v>
      </c>
      <c r="P37" s="4" t="e">
        <f t="shared" si="3"/>
        <v>#VALUE!</v>
      </c>
    </row>
    <row r="38" spans="1:16" x14ac:dyDescent="0.25">
      <c r="A38" s="5"/>
      <c r="B38" s="5"/>
      <c r="C38" s="5"/>
      <c r="D38" s="5"/>
      <c r="E38" s="12"/>
      <c r="F38" s="6"/>
      <c r="G38" s="6"/>
      <c r="H38" s="5"/>
      <c r="I38" s="5"/>
      <c r="J38" s="5"/>
      <c r="K38" s="5"/>
      <c r="N38" s="32" t="str">
        <f t="shared" si="2"/>
        <v/>
      </c>
      <c r="O38" s="34" t="e">
        <f t="shared" si="0"/>
        <v>#VALUE!</v>
      </c>
      <c r="P38" s="4" t="e">
        <f t="shared" si="3"/>
        <v>#VALUE!</v>
      </c>
    </row>
    <row r="39" spans="1:16" x14ac:dyDescent="0.25">
      <c r="A39" s="5"/>
      <c r="B39" s="5"/>
      <c r="C39" s="5"/>
      <c r="D39" s="5"/>
      <c r="E39" s="12"/>
      <c r="F39" s="6"/>
      <c r="G39" s="6"/>
      <c r="H39" s="5"/>
      <c r="I39" s="5"/>
      <c r="J39" s="5"/>
      <c r="K39" s="5"/>
      <c r="N39" s="32" t="str">
        <f t="shared" si="2"/>
        <v/>
      </c>
      <c r="O39" s="34" t="e">
        <f t="shared" si="0"/>
        <v>#VALUE!</v>
      </c>
      <c r="P39" s="4" t="e">
        <f t="shared" si="3"/>
        <v>#VALUE!</v>
      </c>
    </row>
    <row r="40" spans="1:16" x14ac:dyDescent="0.25">
      <c r="A40" s="5"/>
      <c r="B40" s="5"/>
      <c r="C40" s="5"/>
      <c r="D40" s="5"/>
      <c r="E40" s="12"/>
      <c r="F40" s="6"/>
      <c r="G40" s="6"/>
      <c r="H40" s="5"/>
      <c r="I40" s="5"/>
      <c r="J40" s="5"/>
      <c r="K40" s="5"/>
      <c r="N40" s="32" t="str">
        <f t="shared" si="2"/>
        <v/>
      </c>
      <c r="O40" s="34" t="e">
        <f t="shared" si="0"/>
        <v>#VALUE!</v>
      </c>
      <c r="P40" s="4" t="e">
        <f t="shared" si="3"/>
        <v>#VALUE!</v>
      </c>
    </row>
    <row r="41" spans="1:16" x14ac:dyDescent="0.25">
      <c r="A41" s="5"/>
      <c r="B41" s="5"/>
      <c r="C41" s="5"/>
      <c r="D41" s="5"/>
      <c r="E41" s="12"/>
      <c r="F41" s="6"/>
      <c r="G41" s="6"/>
      <c r="H41" s="5"/>
      <c r="I41" s="5"/>
      <c r="J41" s="5"/>
      <c r="K41" s="5"/>
      <c r="N41" s="32" t="str">
        <f t="shared" si="2"/>
        <v/>
      </c>
      <c r="O41" s="34" t="e">
        <f t="shared" si="0"/>
        <v>#VALUE!</v>
      </c>
      <c r="P41" s="4" t="e">
        <f t="shared" si="3"/>
        <v>#VALUE!</v>
      </c>
    </row>
    <row r="42" spans="1:16" x14ac:dyDescent="0.25">
      <c r="A42" s="5"/>
      <c r="B42" s="5"/>
      <c r="C42" s="5"/>
      <c r="D42" s="5"/>
      <c r="E42" s="12"/>
      <c r="F42" s="6"/>
      <c r="G42" s="6"/>
      <c r="H42" s="5"/>
      <c r="I42" s="5"/>
      <c r="J42" s="5"/>
      <c r="K42" s="5"/>
      <c r="N42" s="32" t="str">
        <f t="shared" si="2"/>
        <v/>
      </c>
      <c r="O42" s="34" t="e">
        <f t="shared" si="0"/>
        <v>#VALUE!</v>
      </c>
      <c r="P42" s="4" t="e">
        <f t="shared" si="3"/>
        <v>#VALUE!</v>
      </c>
    </row>
    <row r="43" spans="1:16" x14ac:dyDescent="0.25">
      <c r="A43" s="5"/>
      <c r="B43" s="5"/>
      <c r="C43" s="5"/>
      <c r="D43" s="5"/>
      <c r="E43" s="12"/>
      <c r="F43" s="6"/>
      <c r="G43" s="6"/>
      <c r="H43" s="5"/>
      <c r="I43" s="5"/>
      <c r="J43" s="5"/>
      <c r="K43" s="5"/>
      <c r="N43" s="32" t="str">
        <f t="shared" si="2"/>
        <v/>
      </c>
      <c r="O43" s="34" t="e">
        <f t="shared" si="0"/>
        <v>#VALUE!</v>
      </c>
      <c r="P43" s="4" t="e">
        <f t="shared" si="3"/>
        <v>#VALUE!</v>
      </c>
    </row>
    <row r="44" spans="1:16" x14ac:dyDescent="0.25">
      <c r="A44" s="5"/>
      <c r="B44" s="5"/>
      <c r="C44" s="5"/>
      <c r="D44" s="5"/>
      <c r="E44" s="12"/>
      <c r="F44" s="6"/>
      <c r="G44" s="6"/>
      <c r="H44" s="5"/>
      <c r="I44" s="5"/>
      <c r="J44" s="5"/>
      <c r="K44" s="5"/>
      <c r="N44" s="32" t="str">
        <f t="shared" si="2"/>
        <v/>
      </c>
      <c r="O44" s="34" t="e">
        <f t="shared" si="0"/>
        <v>#VALUE!</v>
      </c>
      <c r="P44" s="4" t="e">
        <f t="shared" si="3"/>
        <v>#VALUE!</v>
      </c>
    </row>
    <row r="45" spans="1:16" x14ac:dyDescent="0.25">
      <c r="A45" s="5"/>
      <c r="B45" s="5"/>
      <c r="C45" s="5"/>
      <c r="D45" s="5"/>
      <c r="E45" s="12"/>
      <c r="F45" s="6"/>
      <c r="G45" s="6"/>
      <c r="H45" s="5"/>
      <c r="I45" s="5"/>
      <c r="J45" s="5"/>
      <c r="K45" s="5"/>
      <c r="N45" s="32" t="str">
        <f t="shared" si="2"/>
        <v/>
      </c>
      <c r="O45" s="34" t="e">
        <f t="shared" si="0"/>
        <v>#VALUE!</v>
      </c>
      <c r="P45" s="4" t="e">
        <f t="shared" si="3"/>
        <v>#VALUE!</v>
      </c>
    </row>
    <row r="46" spans="1:16" x14ac:dyDescent="0.25">
      <c r="A46" s="5"/>
      <c r="B46" s="5"/>
      <c r="C46" s="5"/>
      <c r="D46" s="5"/>
      <c r="E46" s="12"/>
      <c r="F46" s="6"/>
      <c r="G46" s="6"/>
      <c r="H46" s="5"/>
      <c r="I46" s="5"/>
      <c r="J46" s="5"/>
      <c r="K46" s="5"/>
      <c r="N46" s="32" t="str">
        <f t="shared" si="2"/>
        <v/>
      </c>
      <c r="O46" s="34" t="e">
        <f t="shared" si="0"/>
        <v>#VALUE!</v>
      </c>
      <c r="P46" s="4" t="e">
        <f t="shared" si="3"/>
        <v>#VALUE!</v>
      </c>
    </row>
    <row r="47" spans="1:16" x14ac:dyDescent="0.25">
      <c r="A47" s="5"/>
      <c r="B47" s="5"/>
      <c r="C47" s="5"/>
      <c r="D47" s="5"/>
      <c r="E47" s="12"/>
      <c r="F47" s="6"/>
      <c r="G47" s="6"/>
      <c r="H47" s="5"/>
      <c r="I47" s="5"/>
      <c r="J47" s="5"/>
      <c r="K47" s="5"/>
      <c r="N47" s="32" t="str">
        <f t="shared" si="2"/>
        <v/>
      </c>
      <c r="O47" s="34" t="e">
        <f t="shared" si="0"/>
        <v>#VALUE!</v>
      </c>
      <c r="P47" s="4" t="e">
        <f t="shared" si="3"/>
        <v>#VALUE!</v>
      </c>
    </row>
    <row r="48" spans="1:16" x14ac:dyDescent="0.25">
      <c r="A48" s="5"/>
      <c r="B48" s="5"/>
      <c r="C48" s="5"/>
      <c r="D48" s="5"/>
      <c r="E48" s="12"/>
      <c r="F48" s="6"/>
      <c r="G48" s="6"/>
      <c r="H48" s="5"/>
      <c r="I48" s="5"/>
      <c r="J48" s="5"/>
      <c r="K48" s="5"/>
      <c r="N48" s="32" t="str">
        <f t="shared" si="2"/>
        <v/>
      </c>
      <c r="O48" s="34" t="e">
        <f t="shared" si="0"/>
        <v>#VALUE!</v>
      </c>
      <c r="P48" s="4" t="e">
        <f t="shared" si="3"/>
        <v>#VALUE!</v>
      </c>
    </row>
    <row r="49" spans="1:16" x14ac:dyDescent="0.25">
      <c r="A49" s="5"/>
      <c r="B49" s="5"/>
      <c r="C49" s="5"/>
      <c r="D49" s="5"/>
      <c r="E49" s="12"/>
      <c r="F49" s="6"/>
      <c r="G49" s="6"/>
      <c r="H49" s="5"/>
      <c r="I49" s="5"/>
      <c r="J49" s="5"/>
      <c r="K49" s="5"/>
      <c r="N49" s="32" t="str">
        <f t="shared" si="2"/>
        <v/>
      </c>
      <c r="O49" s="34" t="e">
        <f t="shared" si="0"/>
        <v>#VALUE!</v>
      </c>
      <c r="P49" s="4" t="e">
        <f t="shared" si="3"/>
        <v>#VALUE!</v>
      </c>
    </row>
    <row r="50" spans="1:16" x14ac:dyDescent="0.25">
      <c r="A50" s="5"/>
      <c r="B50" s="5"/>
      <c r="C50" s="5"/>
      <c r="D50" s="5"/>
      <c r="E50" s="12"/>
      <c r="F50" s="6"/>
      <c r="G50" s="6"/>
      <c r="H50" s="5"/>
      <c r="I50" s="5"/>
      <c r="J50" s="5"/>
      <c r="K50" s="5"/>
      <c r="N50" s="32" t="str">
        <f t="shared" si="2"/>
        <v/>
      </c>
      <c r="O50" s="34" t="e">
        <f t="shared" si="0"/>
        <v>#VALUE!</v>
      </c>
      <c r="P50" s="4" t="e">
        <f t="shared" si="3"/>
        <v>#VALUE!</v>
      </c>
    </row>
    <row r="51" spans="1:16" x14ac:dyDescent="0.25">
      <c r="A51" s="5"/>
      <c r="B51" s="5"/>
      <c r="C51" s="5"/>
      <c r="D51" s="5"/>
      <c r="E51" s="12"/>
      <c r="F51" s="6"/>
      <c r="G51" s="6"/>
      <c r="H51" s="5"/>
      <c r="I51" s="5"/>
      <c r="J51" s="5"/>
      <c r="K51" s="5"/>
      <c r="N51" s="32" t="str">
        <f t="shared" si="2"/>
        <v/>
      </c>
      <c r="O51" s="34" t="e">
        <f t="shared" si="0"/>
        <v>#VALUE!</v>
      </c>
      <c r="P51" s="4" t="e">
        <f t="shared" si="3"/>
        <v>#VALUE!</v>
      </c>
    </row>
    <row r="52" spans="1:16" x14ac:dyDescent="0.25">
      <c r="A52" s="5"/>
      <c r="B52" s="5"/>
      <c r="C52" s="5"/>
      <c r="D52" s="5"/>
      <c r="E52" s="12"/>
      <c r="F52" s="6"/>
      <c r="G52" s="6"/>
      <c r="H52" s="5"/>
      <c r="I52" s="5"/>
      <c r="J52" s="5"/>
      <c r="K52" s="5"/>
      <c r="N52" s="32" t="str">
        <f t="shared" si="2"/>
        <v/>
      </c>
      <c r="O52" s="34" t="e">
        <f t="shared" si="0"/>
        <v>#VALUE!</v>
      </c>
      <c r="P52" s="4" t="e">
        <f t="shared" si="3"/>
        <v>#VALUE!</v>
      </c>
    </row>
    <row r="53" spans="1:16" x14ac:dyDescent="0.25">
      <c r="A53" s="5"/>
      <c r="B53" s="5"/>
      <c r="C53" s="5"/>
      <c r="D53" s="5"/>
      <c r="E53" s="12"/>
      <c r="F53" s="6"/>
      <c r="G53" s="6"/>
      <c r="H53" s="5"/>
      <c r="I53" s="5"/>
      <c r="J53" s="5"/>
      <c r="K53" s="5"/>
      <c r="N53" s="32" t="str">
        <f t="shared" si="2"/>
        <v/>
      </c>
      <c r="O53" s="34" t="e">
        <f t="shared" si="0"/>
        <v>#VALUE!</v>
      </c>
      <c r="P53" s="4" t="e">
        <f t="shared" si="3"/>
        <v>#VALUE!</v>
      </c>
    </row>
    <row r="54" spans="1:16" x14ac:dyDescent="0.25">
      <c r="A54" s="10"/>
      <c r="B54" s="10"/>
      <c r="C54" s="10"/>
      <c r="D54" s="10"/>
      <c r="E54" s="13"/>
      <c r="F54" s="8"/>
      <c r="G54" s="8"/>
      <c r="H54" s="10"/>
      <c r="I54" s="5"/>
      <c r="J54" s="5"/>
      <c r="K54" s="5"/>
      <c r="L54" s="36"/>
      <c r="M54" s="36"/>
      <c r="N54" s="32" t="str">
        <f t="shared" si="2"/>
        <v/>
      </c>
      <c r="O54" s="34" t="e">
        <f t="shared" si="0"/>
        <v>#VALUE!</v>
      </c>
      <c r="P54" s="4" t="e">
        <f t="shared" si="3"/>
        <v>#VALUE!</v>
      </c>
    </row>
    <row r="55" spans="1:16" x14ac:dyDescent="0.25">
      <c r="A55" s="10"/>
      <c r="B55" s="10"/>
      <c r="C55" s="10"/>
      <c r="D55" s="10"/>
      <c r="E55" s="13"/>
      <c r="F55" s="8"/>
      <c r="G55" s="8"/>
      <c r="H55" s="10"/>
      <c r="I55" s="5"/>
      <c r="J55" s="5"/>
      <c r="K55" s="5"/>
      <c r="L55" s="36"/>
      <c r="M55" s="36"/>
      <c r="N55" s="32" t="str">
        <f t="shared" si="2"/>
        <v/>
      </c>
      <c r="O55" s="34" t="e">
        <f t="shared" si="0"/>
        <v>#VALUE!</v>
      </c>
      <c r="P55" s="4" t="e">
        <f t="shared" si="3"/>
        <v>#VALUE!</v>
      </c>
    </row>
    <row r="56" spans="1:16" x14ac:dyDescent="0.25">
      <c r="A56" s="10"/>
      <c r="B56" s="10"/>
      <c r="C56" s="10"/>
      <c r="D56" s="10"/>
      <c r="E56" s="13"/>
      <c r="F56" s="8"/>
      <c r="G56" s="8"/>
      <c r="H56" s="10"/>
      <c r="I56" s="5"/>
      <c r="J56" s="5"/>
      <c r="K56" s="5"/>
      <c r="L56" s="36"/>
      <c r="M56" s="36"/>
      <c r="N56" s="32" t="str">
        <f t="shared" si="2"/>
        <v/>
      </c>
      <c r="O56" s="34" t="e">
        <f t="shared" si="0"/>
        <v>#VALUE!</v>
      </c>
      <c r="P56" s="4" t="e">
        <f t="shared" si="3"/>
        <v>#VALUE!</v>
      </c>
    </row>
    <row r="57" spans="1:16" x14ac:dyDescent="0.25">
      <c r="A57" s="10"/>
      <c r="B57" s="10"/>
      <c r="C57" s="10"/>
      <c r="D57" s="10"/>
      <c r="E57" s="13"/>
      <c r="F57" s="8"/>
      <c r="G57" s="8"/>
      <c r="H57" s="10"/>
      <c r="I57" s="5"/>
      <c r="J57" s="5"/>
      <c r="K57" s="5"/>
      <c r="L57" s="36"/>
      <c r="M57" s="36"/>
      <c r="N57" s="32" t="str">
        <f t="shared" si="2"/>
        <v/>
      </c>
      <c r="O57" s="34" t="e">
        <f t="shared" si="0"/>
        <v>#VALUE!</v>
      </c>
      <c r="P57" s="4" t="e">
        <f t="shared" si="3"/>
        <v>#VALUE!</v>
      </c>
    </row>
    <row r="58" spans="1:16" x14ac:dyDescent="0.25">
      <c r="A58" s="10"/>
      <c r="B58" s="10"/>
      <c r="C58" s="10"/>
      <c r="D58" s="10"/>
      <c r="E58" s="13"/>
      <c r="F58" s="8"/>
      <c r="G58" s="8"/>
      <c r="H58" s="10"/>
      <c r="I58" s="5"/>
      <c r="J58" s="5"/>
      <c r="K58" s="5"/>
      <c r="L58" s="36"/>
      <c r="M58" s="36"/>
      <c r="N58" s="32" t="str">
        <f t="shared" si="2"/>
        <v/>
      </c>
      <c r="O58" s="34" t="e">
        <f t="shared" si="0"/>
        <v>#VALUE!</v>
      </c>
      <c r="P58" s="4" t="e">
        <f t="shared" si="3"/>
        <v>#VALUE!</v>
      </c>
    </row>
    <row r="59" spans="1:16" x14ac:dyDescent="0.25">
      <c r="A59" s="5"/>
      <c r="B59" s="5"/>
      <c r="C59" s="5"/>
      <c r="D59" s="5"/>
      <c r="E59" s="12"/>
      <c r="F59" s="6"/>
      <c r="G59" s="6"/>
      <c r="H59" s="5"/>
      <c r="I59" s="5"/>
      <c r="J59" s="5"/>
      <c r="K59" s="5"/>
      <c r="N59" s="32" t="str">
        <f t="shared" si="2"/>
        <v/>
      </c>
      <c r="O59" s="34" t="e">
        <f t="shared" si="0"/>
        <v>#VALUE!</v>
      </c>
      <c r="P59" s="4" t="e">
        <f t="shared" si="3"/>
        <v>#VALUE!</v>
      </c>
    </row>
    <row r="60" spans="1:16" x14ac:dyDescent="0.25">
      <c r="A60" s="5"/>
      <c r="B60" s="5"/>
      <c r="C60" s="5"/>
      <c r="D60" s="5"/>
      <c r="E60" s="12"/>
      <c r="F60" s="6"/>
      <c r="G60" s="6"/>
      <c r="H60" s="5"/>
      <c r="I60" s="5"/>
      <c r="J60" s="5"/>
      <c r="K60" s="5"/>
      <c r="N60" s="32" t="str">
        <f t="shared" si="2"/>
        <v/>
      </c>
      <c r="O60" s="34" t="e">
        <f t="shared" si="0"/>
        <v>#VALUE!</v>
      </c>
      <c r="P60" s="4" t="e">
        <f t="shared" si="3"/>
        <v>#VALUE!</v>
      </c>
    </row>
    <row r="61" spans="1:16" x14ac:dyDescent="0.25">
      <c r="A61" s="5"/>
      <c r="B61" s="5"/>
      <c r="C61" s="5"/>
      <c r="D61" s="5"/>
      <c r="E61" s="12"/>
      <c r="F61" s="6"/>
      <c r="G61" s="6"/>
      <c r="H61" s="5"/>
      <c r="I61" s="5"/>
      <c r="J61" s="5"/>
      <c r="K61" s="5"/>
      <c r="N61" s="32" t="str">
        <f t="shared" si="2"/>
        <v/>
      </c>
      <c r="O61" s="34" t="e">
        <f t="shared" si="0"/>
        <v>#VALUE!</v>
      </c>
      <c r="P61" s="4" t="e">
        <f t="shared" si="3"/>
        <v>#VALUE!</v>
      </c>
    </row>
    <row r="62" spans="1:16" x14ac:dyDescent="0.25">
      <c r="A62" s="5"/>
      <c r="B62" s="5"/>
      <c r="C62" s="5"/>
      <c r="D62" s="5"/>
      <c r="E62" s="12"/>
      <c r="F62" s="6"/>
      <c r="G62" s="6"/>
      <c r="H62" s="5"/>
      <c r="I62" s="5"/>
      <c r="J62" s="5"/>
      <c r="K62" s="5"/>
      <c r="N62" s="32" t="str">
        <f t="shared" si="2"/>
        <v/>
      </c>
      <c r="O62" s="34" t="e">
        <f t="shared" si="0"/>
        <v>#VALUE!</v>
      </c>
      <c r="P62" s="4" t="e">
        <f t="shared" si="3"/>
        <v>#VALUE!</v>
      </c>
    </row>
    <row r="63" spans="1:16" x14ac:dyDescent="0.25">
      <c r="A63" s="5"/>
      <c r="B63" s="5"/>
      <c r="C63" s="5"/>
      <c r="D63" s="5"/>
      <c r="E63" s="12"/>
      <c r="F63" s="6"/>
      <c r="G63" s="6"/>
      <c r="H63" s="5"/>
      <c r="I63" s="5"/>
      <c r="J63" s="5"/>
      <c r="K63" s="5"/>
      <c r="N63" s="32" t="str">
        <f t="shared" si="2"/>
        <v/>
      </c>
      <c r="O63" s="34" t="e">
        <f t="shared" si="0"/>
        <v>#VALUE!</v>
      </c>
      <c r="P63" s="4" t="e">
        <f t="shared" si="3"/>
        <v>#VALUE!</v>
      </c>
    </row>
    <row r="64" spans="1:16" x14ac:dyDescent="0.25">
      <c r="A64" s="5"/>
      <c r="B64" s="5"/>
      <c r="C64" s="5"/>
      <c r="D64" s="5"/>
      <c r="E64" s="12"/>
      <c r="F64" s="6"/>
      <c r="G64" s="6"/>
      <c r="H64" s="5"/>
      <c r="I64" s="5"/>
      <c r="J64" s="5"/>
      <c r="K64" s="5"/>
      <c r="N64" s="32" t="str">
        <f t="shared" si="2"/>
        <v/>
      </c>
      <c r="O64" s="34" t="e">
        <f t="shared" si="0"/>
        <v>#VALUE!</v>
      </c>
      <c r="P64" s="4" t="e">
        <f t="shared" si="3"/>
        <v>#VALUE!</v>
      </c>
    </row>
    <row r="65" spans="1:16" x14ac:dyDescent="0.25">
      <c r="A65" s="5"/>
      <c r="B65" s="5"/>
      <c r="C65" s="5"/>
      <c r="D65" s="5"/>
      <c r="E65" s="12"/>
      <c r="F65" s="6"/>
      <c r="G65" s="6"/>
      <c r="H65" s="5"/>
      <c r="I65" s="5"/>
      <c r="J65" s="5"/>
      <c r="K65" s="5"/>
      <c r="N65" s="32" t="str">
        <f t="shared" si="2"/>
        <v/>
      </c>
      <c r="O65" s="34" t="e">
        <f t="shared" si="0"/>
        <v>#VALUE!</v>
      </c>
      <c r="P65" s="4" t="e">
        <f t="shared" si="3"/>
        <v>#VALUE!</v>
      </c>
    </row>
    <row r="66" spans="1:16" x14ac:dyDescent="0.25">
      <c r="A66" s="5"/>
      <c r="B66" s="5"/>
      <c r="C66" s="5"/>
      <c r="D66" s="5"/>
      <c r="E66" s="12"/>
      <c r="F66" s="6"/>
      <c r="G66" s="6"/>
      <c r="H66" s="5"/>
      <c r="I66" s="5"/>
      <c r="J66" s="5"/>
      <c r="K66" s="5"/>
      <c r="N66" s="32" t="str">
        <f t="shared" si="2"/>
        <v/>
      </c>
      <c r="O66" s="34" t="e">
        <f t="shared" ref="O66:O85" si="4">N66+15</f>
        <v>#VALUE!</v>
      </c>
      <c r="P66" s="4" t="e">
        <f t="shared" si="3"/>
        <v>#VALUE!</v>
      </c>
    </row>
    <row r="67" spans="1:16" x14ac:dyDescent="0.25">
      <c r="A67" s="5"/>
      <c r="B67" s="5"/>
      <c r="C67" s="5"/>
      <c r="D67" s="5"/>
      <c r="E67" s="12"/>
      <c r="F67" s="6"/>
      <c r="G67" s="6"/>
      <c r="H67" s="5"/>
      <c r="I67" s="5"/>
      <c r="J67" s="5"/>
      <c r="K67" s="5"/>
      <c r="N67" s="32" t="str">
        <f t="shared" ref="N67:N95" si="5">SUBSTITUTE(UPPER(J67),"MM","")</f>
        <v/>
      </c>
      <c r="O67" s="34" t="e">
        <f t="shared" si="4"/>
        <v>#VALUE!</v>
      </c>
      <c r="P67" s="4" t="e">
        <f t="shared" si="3"/>
        <v>#VALUE!</v>
      </c>
    </row>
    <row r="68" spans="1:16" x14ac:dyDescent="0.25">
      <c r="A68" s="5"/>
      <c r="B68" s="5"/>
      <c r="C68" s="5"/>
      <c r="D68" s="5"/>
      <c r="E68" s="12"/>
      <c r="F68" s="6"/>
      <c r="G68" s="6"/>
      <c r="H68" s="5"/>
      <c r="I68" s="5"/>
      <c r="J68" s="5"/>
      <c r="K68" s="5"/>
      <c r="N68" s="32" t="str">
        <f t="shared" si="5"/>
        <v/>
      </c>
      <c r="O68" s="34" t="e">
        <f t="shared" si="4"/>
        <v>#VALUE!</v>
      </c>
      <c r="P68" s="4" t="e">
        <f t="shared" si="3"/>
        <v>#VALUE!</v>
      </c>
    </row>
    <row r="69" spans="1:16" x14ac:dyDescent="0.25">
      <c r="A69" s="5"/>
      <c r="B69" s="5"/>
      <c r="C69" s="5"/>
      <c r="D69" s="5"/>
      <c r="E69" s="12"/>
      <c r="F69" s="6"/>
      <c r="G69" s="6"/>
      <c r="H69" s="5"/>
      <c r="I69" s="5"/>
      <c r="J69" s="5"/>
      <c r="K69" s="5"/>
      <c r="N69" s="32" t="str">
        <f t="shared" si="5"/>
        <v/>
      </c>
      <c r="O69" s="34" t="e">
        <f t="shared" si="4"/>
        <v>#VALUE!</v>
      </c>
      <c r="P69" s="4" t="e">
        <f t="shared" si="3"/>
        <v>#VALUE!</v>
      </c>
    </row>
    <row r="70" spans="1:16" x14ac:dyDescent="0.25">
      <c r="A70" s="5"/>
      <c r="B70" s="5"/>
      <c r="C70" s="5"/>
      <c r="D70" s="5"/>
      <c r="E70" s="12"/>
      <c r="F70" s="6"/>
      <c r="G70" s="6"/>
      <c r="H70" s="5"/>
      <c r="I70" s="5"/>
      <c r="J70" s="5"/>
      <c r="K70" s="5"/>
      <c r="N70" s="32" t="str">
        <f t="shared" si="5"/>
        <v/>
      </c>
      <c r="O70" s="34" t="e">
        <f t="shared" si="4"/>
        <v>#VALUE!</v>
      </c>
      <c r="P70" s="4" t="e">
        <f t="shared" si="3"/>
        <v>#VALUE!</v>
      </c>
    </row>
    <row r="71" spans="1:16" x14ac:dyDescent="0.25">
      <c r="A71" s="5"/>
      <c r="B71" s="5"/>
      <c r="C71" s="5"/>
      <c r="D71" s="5"/>
      <c r="E71" s="12"/>
      <c r="F71" s="6"/>
      <c r="G71" s="6"/>
      <c r="H71" s="5"/>
      <c r="I71" s="5"/>
      <c r="J71" s="5"/>
      <c r="K71" s="5"/>
      <c r="N71" s="32" t="str">
        <f t="shared" si="5"/>
        <v/>
      </c>
      <c r="O71" s="34" t="e">
        <f t="shared" si="4"/>
        <v>#VALUE!</v>
      </c>
      <c r="P71" s="4" t="e">
        <f t="shared" si="3"/>
        <v>#VALUE!</v>
      </c>
    </row>
    <row r="72" spans="1:16" x14ac:dyDescent="0.25">
      <c r="A72" s="5"/>
      <c r="B72" s="5"/>
      <c r="C72" s="5"/>
      <c r="D72" s="5"/>
      <c r="E72" s="12"/>
      <c r="F72" s="6"/>
      <c r="G72" s="6"/>
      <c r="H72" s="5"/>
      <c r="I72" s="5"/>
      <c r="J72" s="5"/>
      <c r="K72" s="5"/>
      <c r="N72" s="32" t="str">
        <f t="shared" si="5"/>
        <v/>
      </c>
      <c r="O72" s="34" t="e">
        <f t="shared" si="4"/>
        <v>#VALUE!</v>
      </c>
      <c r="P72" s="4" t="e">
        <f t="shared" si="3"/>
        <v>#VALUE!</v>
      </c>
    </row>
    <row r="73" spans="1:16" x14ac:dyDescent="0.25">
      <c r="A73" s="5"/>
      <c r="B73" s="5"/>
      <c r="C73" s="5"/>
      <c r="D73" s="5"/>
      <c r="E73" s="12"/>
      <c r="F73" s="6"/>
      <c r="G73" s="6"/>
      <c r="H73" s="5"/>
      <c r="I73" s="5"/>
      <c r="J73" s="5"/>
      <c r="K73" s="5"/>
      <c r="N73" s="32" t="str">
        <f t="shared" si="5"/>
        <v/>
      </c>
      <c r="O73" s="34" t="e">
        <f t="shared" si="4"/>
        <v>#VALUE!</v>
      </c>
      <c r="P73" s="4" t="e">
        <f t="shared" si="3"/>
        <v>#VALUE!</v>
      </c>
    </row>
    <row r="74" spans="1:16" x14ac:dyDescent="0.25">
      <c r="A74" s="5"/>
      <c r="B74" s="5"/>
      <c r="C74" s="5"/>
      <c r="D74" s="5"/>
      <c r="E74" s="12"/>
      <c r="F74" s="6"/>
      <c r="G74" s="6"/>
      <c r="H74" s="5"/>
      <c r="I74" s="5"/>
      <c r="J74" s="5"/>
      <c r="K74" s="5"/>
      <c r="N74" s="32" t="str">
        <f t="shared" si="5"/>
        <v/>
      </c>
      <c r="O74" s="34" t="e">
        <f t="shared" si="4"/>
        <v>#VALUE!</v>
      </c>
      <c r="P74" s="4" t="e">
        <f t="shared" si="3"/>
        <v>#VALUE!</v>
      </c>
    </row>
    <row r="75" spans="1:16" x14ac:dyDescent="0.25">
      <c r="A75" s="5"/>
      <c r="B75" s="5"/>
      <c r="C75" s="5"/>
      <c r="D75" s="5"/>
      <c r="E75" s="12"/>
      <c r="F75" s="6"/>
      <c r="G75" s="6"/>
      <c r="H75" s="5"/>
      <c r="I75" s="5"/>
      <c r="J75" s="5"/>
      <c r="K75" s="5"/>
      <c r="N75" s="32" t="str">
        <f t="shared" si="5"/>
        <v/>
      </c>
      <c r="O75" s="34" t="e">
        <f t="shared" si="4"/>
        <v>#VALUE!</v>
      </c>
      <c r="P75" s="4" t="e">
        <f t="shared" si="3"/>
        <v>#VALUE!</v>
      </c>
    </row>
    <row r="76" spans="1:16" x14ac:dyDescent="0.25">
      <c r="A76" s="5"/>
      <c r="B76" s="5"/>
      <c r="C76" s="5"/>
      <c r="D76" s="5"/>
      <c r="E76" s="12"/>
      <c r="F76" s="6"/>
      <c r="G76" s="6"/>
      <c r="H76" s="5"/>
      <c r="I76" s="5"/>
      <c r="J76" s="5"/>
      <c r="K76" s="5"/>
      <c r="N76" s="32" t="str">
        <f t="shared" si="5"/>
        <v/>
      </c>
      <c r="O76" s="34" t="e">
        <f t="shared" si="4"/>
        <v>#VALUE!</v>
      </c>
      <c r="P76" s="4" t="e">
        <f t="shared" si="3"/>
        <v>#VALUE!</v>
      </c>
    </row>
    <row r="77" spans="1:16" x14ac:dyDescent="0.25">
      <c r="A77" s="5"/>
      <c r="B77" s="5"/>
      <c r="C77" s="5"/>
      <c r="D77" s="5"/>
      <c r="E77" s="12"/>
      <c r="F77" s="6"/>
      <c r="G77" s="6"/>
      <c r="H77" s="5"/>
      <c r="I77" s="5"/>
      <c r="J77" s="5"/>
      <c r="K77" s="5"/>
      <c r="N77" s="32" t="str">
        <f t="shared" si="5"/>
        <v/>
      </c>
      <c r="O77" s="34" t="e">
        <f t="shared" si="4"/>
        <v>#VALUE!</v>
      </c>
      <c r="P77" s="4" t="e">
        <f t="shared" si="3"/>
        <v>#VALUE!</v>
      </c>
    </row>
    <row r="78" spans="1:16" x14ac:dyDescent="0.25">
      <c r="A78" s="5"/>
      <c r="B78" s="5"/>
      <c r="C78" s="5"/>
      <c r="D78" s="5"/>
      <c r="E78" s="12"/>
      <c r="F78" s="6"/>
      <c r="G78" s="6"/>
      <c r="H78" s="5"/>
      <c r="I78" s="5"/>
      <c r="J78" s="5"/>
      <c r="K78" s="5"/>
      <c r="N78" s="32" t="str">
        <f t="shared" si="5"/>
        <v/>
      </c>
      <c r="O78" s="34" t="e">
        <f t="shared" si="4"/>
        <v>#VALUE!</v>
      </c>
      <c r="P78" s="4" t="e">
        <f t="shared" si="3"/>
        <v>#VALUE!</v>
      </c>
    </row>
    <row r="79" spans="1:16" x14ac:dyDescent="0.25">
      <c r="A79" s="5"/>
      <c r="B79" s="5"/>
      <c r="C79" s="5"/>
      <c r="D79" s="5"/>
      <c r="E79" s="12"/>
      <c r="F79" s="6"/>
      <c r="G79" s="6"/>
      <c r="H79" s="5"/>
      <c r="I79" s="5"/>
      <c r="J79" s="5"/>
      <c r="K79" s="5"/>
      <c r="N79" s="32" t="str">
        <f t="shared" si="5"/>
        <v/>
      </c>
      <c r="O79" s="34" t="e">
        <f t="shared" si="4"/>
        <v>#VALUE!</v>
      </c>
      <c r="P79" s="4" t="e">
        <f t="shared" si="3"/>
        <v>#VALUE!</v>
      </c>
    </row>
    <row r="80" spans="1:16" x14ac:dyDescent="0.25">
      <c r="A80" s="5"/>
      <c r="B80" s="5"/>
      <c r="C80" s="5"/>
      <c r="D80" s="5"/>
      <c r="E80" s="12"/>
      <c r="F80" s="6"/>
      <c r="G80" s="6"/>
      <c r="H80" s="5"/>
      <c r="I80" s="5"/>
      <c r="J80" s="5"/>
      <c r="K80" s="5"/>
      <c r="N80" s="32" t="str">
        <f t="shared" si="5"/>
        <v/>
      </c>
      <c r="O80" s="34" t="e">
        <f t="shared" si="4"/>
        <v>#VALUE!</v>
      </c>
      <c r="P80" s="4" t="e">
        <f t="shared" si="3"/>
        <v>#VALUE!</v>
      </c>
    </row>
    <row r="81" spans="1:16" x14ac:dyDescent="0.25">
      <c r="A81" s="5"/>
      <c r="B81" s="5"/>
      <c r="C81" s="5"/>
      <c r="D81" s="5"/>
      <c r="E81" s="12"/>
      <c r="F81" s="6"/>
      <c r="G81" s="6"/>
      <c r="H81" s="5"/>
      <c r="I81" s="5"/>
      <c r="J81" s="5"/>
      <c r="K81" s="5"/>
      <c r="N81" s="32" t="str">
        <f t="shared" si="5"/>
        <v/>
      </c>
      <c r="O81" s="34" t="e">
        <f t="shared" si="4"/>
        <v>#VALUE!</v>
      </c>
      <c r="P81" s="4" t="e">
        <f t="shared" si="3"/>
        <v>#VALUE!</v>
      </c>
    </row>
    <row r="82" spans="1:16" x14ac:dyDescent="0.25">
      <c r="A82" s="5"/>
      <c r="B82" s="5"/>
      <c r="C82" s="5"/>
      <c r="D82" s="5"/>
      <c r="E82" s="12"/>
      <c r="F82" s="6"/>
      <c r="G82" s="6"/>
      <c r="H82" s="5"/>
      <c r="I82" s="5"/>
      <c r="J82" s="5"/>
      <c r="K82" s="5"/>
      <c r="N82" s="32" t="str">
        <f t="shared" si="5"/>
        <v/>
      </c>
      <c r="O82" s="34" t="e">
        <f t="shared" si="4"/>
        <v>#VALUE!</v>
      </c>
      <c r="P82" s="4" t="e">
        <f t="shared" si="3"/>
        <v>#VALUE!</v>
      </c>
    </row>
    <row r="83" spans="1:16" x14ac:dyDescent="0.25">
      <c r="A83" s="5"/>
      <c r="B83" s="5"/>
      <c r="C83" s="5"/>
      <c r="D83" s="5"/>
      <c r="E83" s="12"/>
      <c r="F83" s="6"/>
      <c r="G83" s="6"/>
      <c r="H83" s="5"/>
      <c r="I83" s="5"/>
      <c r="J83" s="5"/>
      <c r="K83" s="5"/>
      <c r="N83" s="32" t="str">
        <f t="shared" si="5"/>
        <v/>
      </c>
      <c r="O83" s="34" t="e">
        <f t="shared" si="4"/>
        <v>#VALUE!</v>
      </c>
      <c r="P83" s="4" t="e">
        <f t="shared" si="3"/>
        <v>#VALUE!</v>
      </c>
    </row>
    <row r="84" spans="1:16" x14ac:dyDescent="0.25">
      <c r="A84" s="5"/>
      <c r="B84" s="5"/>
      <c r="C84" s="5"/>
      <c r="D84" s="5"/>
      <c r="E84" s="12"/>
      <c r="F84" s="6"/>
      <c r="G84" s="6"/>
      <c r="H84" s="5"/>
      <c r="I84" s="5"/>
      <c r="J84" s="5"/>
      <c r="K84" s="5"/>
      <c r="N84" s="32" t="str">
        <f t="shared" si="5"/>
        <v/>
      </c>
      <c r="O84" s="34" t="e">
        <f t="shared" si="4"/>
        <v>#VALUE!</v>
      </c>
      <c r="P84" s="4" t="e">
        <f t="shared" si="3"/>
        <v>#VALUE!</v>
      </c>
    </row>
    <row r="85" spans="1:16" x14ac:dyDescent="0.25">
      <c r="A85" s="5"/>
      <c r="B85" s="5"/>
      <c r="C85" s="5"/>
      <c r="D85" s="5"/>
      <c r="E85" s="12"/>
      <c r="F85" s="6"/>
      <c r="G85" s="6"/>
      <c r="H85" s="5"/>
      <c r="I85" s="5"/>
      <c r="J85" s="5"/>
      <c r="K85" s="5"/>
      <c r="N85" s="32" t="str">
        <f t="shared" si="5"/>
        <v/>
      </c>
      <c r="O85" s="34" t="e">
        <f t="shared" si="4"/>
        <v>#VALUE!</v>
      </c>
      <c r="P85" s="4" t="e">
        <f t="shared" si="3"/>
        <v>#VALUE!</v>
      </c>
    </row>
    <row r="86" spans="1:16" x14ac:dyDescent="0.25">
      <c r="A86" s="5"/>
      <c r="B86" s="5"/>
      <c r="C86" s="5"/>
      <c r="D86" s="5"/>
      <c r="E86" s="12"/>
      <c r="F86" s="6"/>
      <c r="G86" s="6"/>
      <c r="H86" s="5"/>
      <c r="I86" s="5"/>
      <c r="J86" s="5"/>
      <c r="K86" s="5"/>
      <c r="N86" s="32" t="str">
        <f t="shared" si="5"/>
        <v/>
      </c>
      <c r="O86" s="34" t="e">
        <f t="shared" ref="O86:O95" si="6">N86+15</f>
        <v>#VALUE!</v>
      </c>
      <c r="P86" s="4" t="e">
        <f t="shared" ref="P86:P95" si="7">O86*B86</f>
        <v>#VALUE!</v>
      </c>
    </row>
    <row r="87" spans="1:16" x14ac:dyDescent="0.25">
      <c r="A87" s="5"/>
      <c r="B87" s="5"/>
      <c r="C87" s="5"/>
      <c r="D87" s="5"/>
      <c r="E87" s="12"/>
      <c r="F87" s="6"/>
      <c r="G87" s="6"/>
      <c r="H87" s="5"/>
      <c r="I87" s="5"/>
      <c r="J87" s="5"/>
      <c r="K87" s="5"/>
      <c r="N87" s="32" t="str">
        <f t="shared" si="5"/>
        <v/>
      </c>
      <c r="O87" s="34" t="e">
        <f t="shared" si="6"/>
        <v>#VALUE!</v>
      </c>
      <c r="P87" s="4" t="e">
        <f t="shared" si="7"/>
        <v>#VALUE!</v>
      </c>
    </row>
    <row r="88" spans="1:16" x14ac:dyDescent="0.25">
      <c r="A88" s="5"/>
      <c r="B88" s="5"/>
      <c r="C88" s="5"/>
      <c r="D88" s="5"/>
      <c r="E88" s="12"/>
      <c r="F88" s="6"/>
      <c r="G88" s="6"/>
      <c r="H88" s="5"/>
      <c r="I88" s="5"/>
      <c r="J88" s="5"/>
      <c r="K88" s="5"/>
      <c r="N88" s="32" t="str">
        <f t="shared" si="5"/>
        <v/>
      </c>
      <c r="O88" s="34" t="e">
        <f t="shared" si="6"/>
        <v>#VALUE!</v>
      </c>
      <c r="P88" s="4" t="e">
        <f t="shared" si="7"/>
        <v>#VALUE!</v>
      </c>
    </row>
    <row r="89" spans="1:16" x14ac:dyDescent="0.25">
      <c r="A89" s="5"/>
      <c r="B89" s="5"/>
      <c r="C89" s="5"/>
      <c r="D89" s="5"/>
      <c r="E89" s="12"/>
      <c r="F89" s="6"/>
      <c r="G89" s="6"/>
      <c r="H89" s="5"/>
      <c r="I89" s="5"/>
      <c r="J89" s="5"/>
      <c r="K89" s="5"/>
      <c r="N89" s="32" t="str">
        <f t="shared" si="5"/>
        <v/>
      </c>
      <c r="O89" s="34" t="e">
        <f t="shared" si="6"/>
        <v>#VALUE!</v>
      </c>
      <c r="P89" s="4" t="e">
        <f t="shared" si="7"/>
        <v>#VALUE!</v>
      </c>
    </row>
    <row r="90" spans="1:16" x14ac:dyDescent="0.25">
      <c r="A90" s="5"/>
      <c r="B90" s="5"/>
      <c r="C90" s="5"/>
      <c r="D90" s="5"/>
      <c r="E90" s="12"/>
      <c r="F90" s="6"/>
      <c r="G90" s="6"/>
      <c r="H90" s="5"/>
      <c r="I90" s="5"/>
      <c r="J90" s="5"/>
      <c r="K90" s="5"/>
      <c r="N90" s="32" t="str">
        <f t="shared" si="5"/>
        <v/>
      </c>
      <c r="O90" s="34" t="e">
        <f t="shared" si="6"/>
        <v>#VALUE!</v>
      </c>
      <c r="P90" s="4" t="e">
        <f t="shared" si="7"/>
        <v>#VALUE!</v>
      </c>
    </row>
    <row r="91" spans="1:16" x14ac:dyDescent="0.25">
      <c r="A91" s="5"/>
      <c r="B91" s="5"/>
      <c r="C91" s="5"/>
      <c r="D91" s="5"/>
      <c r="E91" s="12"/>
      <c r="F91" s="6"/>
      <c r="G91" s="6"/>
      <c r="H91" s="5"/>
      <c r="I91" s="5"/>
      <c r="J91" s="5"/>
      <c r="K91" s="5"/>
      <c r="N91" s="32" t="str">
        <f t="shared" si="5"/>
        <v/>
      </c>
      <c r="O91" s="34" t="e">
        <f t="shared" si="6"/>
        <v>#VALUE!</v>
      </c>
      <c r="P91" s="4" t="e">
        <f t="shared" si="7"/>
        <v>#VALUE!</v>
      </c>
    </row>
    <row r="92" spans="1:16" x14ac:dyDescent="0.25">
      <c r="A92" s="5"/>
      <c r="B92" s="5"/>
      <c r="C92" s="5"/>
      <c r="D92" s="5"/>
      <c r="E92" s="12"/>
      <c r="F92" s="6"/>
      <c r="G92" s="6"/>
      <c r="H92" s="5"/>
      <c r="I92" s="5"/>
      <c r="J92" s="5"/>
      <c r="K92" s="5"/>
      <c r="N92" s="32" t="str">
        <f t="shared" si="5"/>
        <v/>
      </c>
      <c r="O92" s="34" t="e">
        <f t="shared" si="6"/>
        <v>#VALUE!</v>
      </c>
      <c r="P92" s="4" t="e">
        <f t="shared" si="7"/>
        <v>#VALUE!</v>
      </c>
    </row>
    <row r="93" spans="1:16" x14ac:dyDescent="0.25">
      <c r="A93" s="5"/>
      <c r="B93" s="5"/>
      <c r="C93" s="5"/>
      <c r="D93" s="5"/>
      <c r="E93" s="12"/>
      <c r="F93" s="6"/>
      <c r="G93" s="6"/>
      <c r="H93" s="5"/>
      <c r="I93" s="5"/>
      <c r="J93" s="5"/>
      <c r="K93" s="5"/>
      <c r="N93" s="32" t="str">
        <f t="shared" si="5"/>
        <v/>
      </c>
      <c r="O93" s="34" t="e">
        <f t="shared" si="6"/>
        <v>#VALUE!</v>
      </c>
      <c r="P93" s="4" t="e">
        <f t="shared" si="7"/>
        <v>#VALUE!</v>
      </c>
    </row>
    <row r="94" spans="1:16" x14ac:dyDescent="0.25">
      <c r="A94" s="5"/>
      <c r="B94" s="5"/>
      <c r="C94" s="5"/>
      <c r="D94" s="5"/>
      <c r="E94" s="12"/>
      <c r="F94" s="6"/>
      <c r="G94" s="6"/>
      <c r="H94" s="5"/>
      <c r="I94" s="5"/>
      <c r="J94" s="5"/>
      <c r="K94" s="5"/>
      <c r="N94" s="32" t="str">
        <f t="shared" si="5"/>
        <v/>
      </c>
      <c r="O94" s="34" t="e">
        <f t="shared" si="6"/>
        <v>#VALUE!</v>
      </c>
      <c r="P94" s="4" t="e">
        <f t="shared" si="7"/>
        <v>#VALUE!</v>
      </c>
    </row>
    <row r="95" spans="1:16" x14ac:dyDescent="0.25">
      <c r="A95" s="5"/>
      <c r="B95" s="5"/>
      <c r="C95" s="5"/>
      <c r="D95" s="5"/>
      <c r="E95" s="12"/>
      <c r="F95" s="6"/>
      <c r="G95" s="6"/>
      <c r="H95" s="5"/>
      <c r="I95" s="5"/>
      <c r="J95" s="5"/>
      <c r="K95" s="5"/>
      <c r="N95" s="32" t="str">
        <f t="shared" si="5"/>
        <v/>
      </c>
      <c r="O95" s="34" t="e">
        <f t="shared" si="6"/>
        <v>#VALUE!</v>
      </c>
      <c r="P95" s="4" t="e">
        <f t="shared" si="7"/>
        <v>#VALUE!</v>
      </c>
    </row>
  </sheetData>
  <sheetProtection selectLockedCells="1"/>
  <autoFilter ref="A1:K85" xr:uid="{00000000-0001-0000-0000-000000000000}"/>
  <phoneticPr fontId="7" type="noConversion"/>
  <conditionalFormatting sqref="G2:G1048576">
    <cfRule type="notContainsBlanks" dxfId="1" priority="1">
      <formula>LEN(TRIM(G2))&gt;0</formula>
    </cfRule>
  </conditionalFormatting>
  <conditionalFormatting sqref="I2:K58">
    <cfRule type="cellIs" dxfId="0" priority="2" operator="equal">
      <formula>"0,00 mm"</formula>
    </cfRule>
  </conditionalFormatting>
  <pageMargins left="0.7" right="0.7" top="0.75" bottom="0.75" header="0.3" footer="0.3"/>
  <pageSetup paperSize="9" scale="46" fitToHeight="0" orientation="landscape" r:id="rId1"/>
  <ignoredErrors>
    <ignoredError sqref="O2:O95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COMPRA BARRAMENTO</vt:lpstr>
      <vt:lpstr>DADOS</vt:lpstr>
      <vt:lpstr>'COMPRA BARRAMENTO'!Area_de_impressao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Eliaquim Calazans da Silva Neto</dc:creator>
  <cp:lastModifiedBy>Enzo Bertoletti Zeferino</cp:lastModifiedBy>
  <cp:lastPrinted>2026-03-19T15:08:07Z</cp:lastPrinted>
  <dcterms:created xsi:type="dcterms:W3CDTF">2015-06-05T18:19:34Z</dcterms:created>
  <dcterms:modified xsi:type="dcterms:W3CDTF">2026-04-07T17:00:25Z</dcterms:modified>
</cp:coreProperties>
</file>